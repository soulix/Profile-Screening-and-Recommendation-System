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713538\Documents\"/>
    </mc:Choice>
  </mc:AlternateContent>
  <bookViews>
    <workbookView xWindow="0" yWindow="0" windowWidth="20490" windowHeight="7755" firstSheet="1" activeTab="2"/>
  </bookViews>
  <sheets>
    <sheet name="RADIUS Scope" sheetId="1" state="hidden" r:id="rId1"/>
    <sheet name="MENDEL 2.0 Plan" sheetId="2" r:id="rId2"/>
    <sheet name="MENDEL 2.0 Timeline" sheetId="5" r:id="rId3"/>
    <sheet name="Radius Effort estimation" sheetId="4" state="hidden" r:id="rId4"/>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0" i="4" l="1"/>
  <c r="Q20" i="4"/>
  <c r="P20" i="4"/>
  <c r="O20" i="4"/>
  <c r="N20" i="4"/>
  <c r="M20" i="4"/>
  <c r="L20" i="4"/>
  <c r="K20" i="4"/>
  <c r="J20" i="4"/>
  <c r="I20" i="4"/>
  <c r="H20" i="4"/>
  <c r="G20" i="4"/>
  <c r="R24" i="4"/>
  <c r="R25" i="4"/>
  <c r="R26" i="4"/>
  <c r="R27" i="4"/>
  <c r="R28" i="4"/>
  <c r="R29" i="4"/>
  <c r="R31" i="4"/>
  <c r="Q24" i="4"/>
  <c r="Q25" i="4"/>
  <c r="Q26" i="4"/>
  <c r="Q27" i="4"/>
  <c r="Q28" i="4"/>
  <c r="Q29" i="4"/>
  <c r="Q31" i="4"/>
  <c r="P24" i="4"/>
  <c r="P25" i="4"/>
  <c r="P26" i="4"/>
  <c r="P27" i="4"/>
  <c r="P28" i="4"/>
  <c r="P29" i="4"/>
  <c r="P31" i="4"/>
  <c r="O24" i="4"/>
  <c r="O25" i="4"/>
  <c r="O26" i="4"/>
  <c r="O27" i="4"/>
  <c r="O28" i="4"/>
  <c r="O29" i="4"/>
  <c r="O31" i="4"/>
  <c r="N24" i="4"/>
  <c r="N25" i="4"/>
  <c r="N26" i="4"/>
  <c r="N27" i="4"/>
  <c r="N28" i="4"/>
  <c r="N29" i="4"/>
  <c r="N31" i="4"/>
  <c r="M24" i="4"/>
  <c r="M25" i="4"/>
  <c r="M26" i="4"/>
  <c r="M27" i="4"/>
  <c r="M28" i="4"/>
  <c r="M29" i="4"/>
  <c r="M31" i="4"/>
  <c r="L24" i="4"/>
  <c r="L25" i="4"/>
  <c r="L26" i="4"/>
  <c r="L27" i="4"/>
  <c r="L28" i="4"/>
  <c r="L29" i="4"/>
  <c r="L31" i="4"/>
  <c r="K24" i="4"/>
  <c r="K25" i="4"/>
  <c r="K26" i="4"/>
  <c r="K27" i="4"/>
  <c r="K28" i="4"/>
  <c r="K29" i="4"/>
  <c r="K31" i="4"/>
  <c r="J24" i="4"/>
  <c r="J25" i="4"/>
  <c r="J26" i="4"/>
  <c r="J27" i="4"/>
  <c r="J28" i="4"/>
  <c r="J29" i="4"/>
  <c r="J31" i="4"/>
  <c r="I24" i="4"/>
  <c r="I25" i="4"/>
  <c r="I26" i="4"/>
  <c r="I27" i="4"/>
  <c r="I28" i="4"/>
  <c r="I29" i="4"/>
  <c r="I31" i="4"/>
  <c r="H24" i="4"/>
  <c r="H25" i="4"/>
  <c r="H26" i="4"/>
  <c r="H27" i="4"/>
  <c r="H28" i="4"/>
  <c r="H29" i="4"/>
  <c r="H31" i="4"/>
  <c r="G24" i="4"/>
  <c r="G25" i="4"/>
  <c r="G26" i="4"/>
  <c r="G27" i="4"/>
  <c r="G28" i="4"/>
  <c r="G29" i="4"/>
  <c r="G31" i="4"/>
  <c r="T14" i="4"/>
  <c r="T15" i="4"/>
  <c r="T16" i="4"/>
  <c r="T17" i="4"/>
  <c r="T18" i="4"/>
  <c r="T19" i="4"/>
  <c r="T20" i="4"/>
</calcChain>
</file>

<file path=xl/sharedStrings.xml><?xml version="1.0" encoding="utf-8"?>
<sst xmlns="http://schemas.openxmlformats.org/spreadsheetml/2006/main" count="171" uniqueCount="141">
  <si>
    <t>About RADIUS</t>
  </si>
  <si>
    <r>
      <rPr>
        <b/>
        <sz val="22"/>
        <color theme="5"/>
        <rFont val="Calibri"/>
        <family val="2"/>
        <scheme val="minor"/>
      </rPr>
      <t>RADIUS</t>
    </r>
    <r>
      <rPr>
        <b/>
        <sz val="22"/>
        <color theme="1"/>
        <rFont val="Calibri"/>
        <family val="2"/>
        <scheme val="minor"/>
      </rPr>
      <t xml:space="preserve"> </t>
    </r>
    <r>
      <rPr>
        <b/>
        <sz val="18"/>
        <color theme="1"/>
        <rFont val="Calibri"/>
        <family val="2"/>
        <scheme val="minor"/>
      </rPr>
      <t xml:space="preserve">- </t>
    </r>
    <r>
      <rPr>
        <b/>
        <sz val="16"/>
        <color theme="1"/>
        <rFont val="Calibri"/>
        <family val="2"/>
        <scheme val="minor"/>
      </rPr>
      <t>Next Gen Marketing analytics solution</t>
    </r>
  </si>
  <si>
    <t>Current Technology Stack</t>
  </si>
  <si>
    <t>Target Accounts</t>
  </si>
  <si>
    <t>Target Stakeholders</t>
  </si>
  <si>
    <t>Distribution channels</t>
  </si>
  <si>
    <t>Program Plan</t>
  </si>
  <si>
    <r>
      <rPr>
        <b/>
        <sz val="11"/>
        <color theme="1"/>
        <rFont val="Calibri"/>
        <family val="2"/>
        <scheme val="minor"/>
      </rPr>
      <t>Multi platform solution with marketing automation capabilities</t>
    </r>
    <r>
      <rPr>
        <sz val="11"/>
        <color theme="1"/>
        <rFont val="Calibri"/>
        <family val="2"/>
        <scheme val="minor"/>
      </rPr>
      <t xml:space="preserve">
Front End processing (BI platform)  - </t>
    </r>
    <r>
      <rPr>
        <b/>
        <sz val="14"/>
        <color theme="5"/>
        <rFont val="Calibri"/>
        <family val="2"/>
        <scheme val="minor"/>
      </rPr>
      <t>Power BI</t>
    </r>
    <r>
      <rPr>
        <b/>
        <sz val="11"/>
        <color theme="1"/>
        <rFont val="Calibri"/>
        <family val="2"/>
        <scheme val="minor"/>
      </rPr>
      <t xml:space="preserve">
</t>
    </r>
    <r>
      <rPr>
        <sz val="11"/>
        <color theme="1"/>
        <rFont val="Calibri"/>
        <family val="2"/>
        <scheme val="minor"/>
      </rPr>
      <t>Backend processing (Analytics Platform ) -</t>
    </r>
    <r>
      <rPr>
        <b/>
        <sz val="11"/>
        <color theme="1"/>
        <rFont val="Calibri"/>
        <family val="2"/>
        <scheme val="minor"/>
      </rPr>
      <t xml:space="preserve"> </t>
    </r>
    <r>
      <rPr>
        <b/>
        <sz val="14"/>
        <color theme="5"/>
        <rFont val="Calibri"/>
        <family val="2"/>
        <scheme val="minor"/>
      </rPr>
      <t xml:space="preserve">Alteryx and R
</t>
    </r>
  </si>
  <si>
    <r>
      <t xml:space="preserve">Leveraging open source technologies for cost effective solution 
</t>
    </r>
    <r>
      <rPr>
        <b/>
        <sz val="11"/>
        <color theme="1"/>
        <rFont val="Calibri"/>
        <family val="2"/>
        <scheme val="minor"/>
      </rPr>
      <t>Single platform solution</t>
    </r>
    <r>
      <rPr>
        <sz val="11"/>
        <color theme="1"/>
        <rFont val="Calibri"/>
        <family val="2"/>
        <scheme val="minor"/>
      </rPr>
      <t xml:space="preserve">
Front End processing (BI Platform / Web based)- </t>
    </r>
    <r>
      <rPr>
        <b/>
        <sz val="14"/>
        <color theme="5"/>
        <rFont val="Calibri"/>
        <family val="2"/>
        <scheme val="minor"/>
      </rPr>
      <t>RShiny</t>
    </r>
    <r>
      <rPr>
        <b/>
        <sz val="11"/>
        <color theme="1"/>
        <rFont val="Calibri"/>
        <family val="2"/>
        <scheme val="minor"/>
      </rPr>
      <t xml:space="preserve">
</t>
    </r>
    <r>
      <rPr>
        <sz val="11"/>
        <color theme="1"/>
        <rFont val="Calibri"/>
        <family val="2"/>
        <scheme val="minor"/>
      </rPr>
      <t>Backend processing (Analytics Platform) -</t>
    </r>
    <r>
      <rPr>
        <b/>
        <sz val="11"/>
        <color theme="1"/>
        <rFont val="Calibri"/>
        <family val="2"/>
        <scheme val="minor"/>
      </rPr>
      <t xml:space="preserve"> </t>
    </r>
    <r>
      <rPr>
        <b/>
        <sz val="14"/>
        <color theme="5"/>
        <rFont val="Calibri"/>
        <family val="2"/>
        <scheme val="minor"/>
      </rPr>
      <t>R</t>
    </r>
    <r>
      <rPr>
        <b/>
        <sz val="11"/>
        <color theme="1"/>
        <rFont val="Calibri"/>
        <family val="2"/>
        <scheme val="minor"/>
      </rPr>
      <t xml:space="preserve">
</t>
    </r>
  </si>
  <si>
    <t>Target End date for adding new features</t>
  </si>
  <si>
    <t>Business Benefits</t>
  </si>
  <si>
    <t xml:space="preserve">• Real time customer sentiments on brands and competitions by analyzing  customer's online conversations
• Deeper customer engagement by right channel selection and right-channel mix that maximizes conversion
• Flexibility to integrate and evaluate data from both digital and traditional channels for personalization / next best action
• Fine tune marketing strategies by monitoring various sales and marketing KPIs 
• Automated reusable models that enable business to adopt various marketing scenarios
</t>
  </si>
  <si>
    <r>
      <t>RADIUS leverages data from all digital &amp; traditional channels and apply advanced analytics methodologies to drive customer insights for digital marketing</t>
    </r>
    <r>
      <rPr>
        <b/>
        <sz val="11"/>
        <color theme="1"/>
        <rFont val="Calibri"/>
        <family val="2"/>
        <scheme val="minor"/>
      </rPr>
      <t xml:space="preserve">
</t>
    </r>
    <r>
      <rPr>
        <b/>
        <sz val="12"/>
        <color theme="5"/>
        <rFont val="Calibri"/>
        <family val="2"/>
        <scheme val="minor"/>
      </rPr>
      <t>Digital Influence on Customers :</t>
    </r>
    <r>
      <rPr>
        <b/>
        <sz val="12"/>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Measure the effect of customers' digital transformation, identify right engagement channels for marketing strategy
</t>
    </r>
    <r>
      <rPr>
        <b/>
        <sz val="12"/>
        <color theme="5"/>
        <rFont val="Calibri"/>
        <family val="2"/>
        <scheme val="minor"/>
      </rPr>
      <t>Social Media Analytics :</t>
    </r>
    <r>
      <rPr>
        <sz val="12"/>
        <color theme="1"/>
        <rFont val="Calibri"/>
        <family val="2"/>
        <scheme val="minor"/>
      </rPr>
      <t xml:space="preserve"> 
</t>
    </r>
    <r>
      <rPr>
        <sz val="11"/>
        <color theme="1"/>
        <rFont val="Calibri"/>
        <family val="2"/>
        <scheme val="minor"/>
      </rPr>
      <t xml:space="preserve">Leverage Social media data to keep tabs on end-consumer sentiment around brand and competition
</t>
    </r>
    <r>
      <rPr>
        <b/>
        <sz val="12"/>
        <color theme="5"/>
        <rFont val="Calibri"/>
        <family val="2"/>
        <scheme val="minor"/>
      </rPr>
      <t>Right Channel Mix Identification</t>
    </r>
    <r>
      <rPr>
        <sz val="12"/>
        <color theme="1"/>
        <rFont val="Calibri"/>
        <family val="2"/>
        <scheme val="minor"/>
      </rPr>
      <t xml:space="preserve"> : 
</t>
    </r>
    <r>
      <rPr>
        <sz val="11"/>
        <color theme="1"/>
        <rFont val="Calibri"/>
        <family val="2"/>
        <scheme val="minor"/>
      </rPr>
      <t xml:space="preserve">Identify the optimal multi-channel mix for promotion activities based on customer behaviors and channel preference
</t>
    </r>
    <r>
      <rPr>
        <b/>
        <sz val="12"/>
        <color theme="5"/>
        <rFont val="Calibri"/>
        <family val="2"/>
        <scheme val="minor"/>
      </rPr>
      <t xml:space="preserve">Promotional Spend Optimization : 
</t>
    </r>
    <r>
      <rPr>
        <sz val="11"/>
        <color theme="1"/>
        <rFont val="Calibri"/>
        <family val="2"/>
        <scheme val="minor"/>
      </rPr>
      <t xml:space="preserve">Evaluate marketing channels for promotion response and optimize the spend across the channels for better ROI
</t>
    </r>
    <r>
      <rPr>
        <b/>
        <sz val="12"/>
        <color theme="5"/>
        <rFont val="Calibri"/>
        <family val="2"/>
        <scheme val="minor"/>
      </rPr>
      <t xml:space="preserve">Revenue Forecasting :
</t>
    </r>
    <r>
      <rPr>
        <sz val="11"/>
        <color theme="1"/>
        <rFont val="Calibri"/>
        <family val="2"/>
        <scheme val="minor"/>
      </rPr>
      <t>Forecasting sales based on historical sales and proposed promotional spend 
Leverage past promotion data, customer responses, customer channel preference and predict how proposed promotions may affect the future</t>
    </r>
  </si>
  <si>
    <r>
      <t xml:space="preserve">Empowering RADIUS solution coupled with AI &amp; deep learning approaches for dynamic marketing strategies based on customer’s real-time &amp; historical behaviors
</t>
    </r>
    <r>
      <rPr>
        <b/>
        <sz val="12"/>
        <color theme="5"/>
        <rFont val="Calibri"/>
        <family val="2"/>
        <scheme val="minor"/>
      </rPr>
      <t>Sales force Intelligence :</t>
    </r>
    <r>
      <rPr>
        <sz val="11"/>
        <color theme="1"/>
        <rFont val="Calibri"/>
        <family val="2"/>
        <scheme val="minor"/>
      </rPr>
      <t xml:space="preserve">
Identify challenges in reaching customers through AI and machine learning techniqies and provide insights to sales force marketing team on their target customers to increase the marketing effectiveness and customer satisfaction
</t>
    </r>
    <r>
      <rPr>
        <b/>
        <sz val="12"/>
        <color theme="5"/>
        <rFont val="Calibri"/>
        <family val="2"/>
        <scheme val="minor"/>
      </rPr>
      <t>Email / Mobile Marketing intelligence</t>
    </r>
    <r>
      <rPr>
        <sz val="12"/>
        <color theme="1"/>
        <rFont val="Calibri"/>
        <family val="2"/>
        <scheme val="minor"/>
      </rPr>
      <t xml:space="preserve"> :</t>
    </r>
    <r>
      <rPr>
        <sz val="11"/>
        <color theme="1"/>
        <rFont val="Calibri"/>
        <family val="2"/>
        <scheme val="minor"/>
      </rPr>
      <t xml:space="preserve">
Recommendation of personalized, individual messaging based on each customer’s real-time and historical behaviors
</t>
    </r>
    <r>
      <rPr>
        <b/>
        <sz val="12"/>
        <color theme="5"/>
        <rFont val="Calibri"/>
        <family val="2"/>
        <scheme val="minor"/>
      </rPr>
      <t>Social Listening :</t>
    </r>
    <r>
      <rPr>
        <sz val="11"/>
        <color theme="1"/>
        <rFont val="Calibri"/>
        <family val="2"/>
        <scheme val="minor"/>
      </rPr>
      <t xml:space="preserve">
Leverage Natural Language Processing and AI to listen the social media buzz for a brand to identify the cause for Customers negative sentiments and respond to them automatically with relevant contents or assign them to relevant marketing teams for increasing customer satisfaction
</t>
    </r>
    <r>
      <rPr>
        <b/>
        <sz val="12"/>
        <color theme="5"/>
        <rFont val="Calibri"/>
        <family val="2"/>
        <scheme val="minor"/>
      </rPr>
      <t xml:space="preserve">Content Generation :
</t>
    </r>
    <r>
      <rPr>
        <sz val="11"/>
        <color theme="1"/>
        <rFont val="Calibri"/>
        <family val="2"/>
        <scheme val="minor"/>
      </rPr>
      <t>Leverage AI and machine learninig techniques to create the unique and best content for customer engagements / marketing activities based on customer’s real-time behaviors and needs</t>
    </r>
  </si>
  <si>
    <t>POC Development</t>
  </si>
  <si>
    <t>Description</t>
  </si>
  <si>
    <t>Status</t>
  </si>
  <si>
    <t>Target Date</t>
  </si>
  <si>
    <t>Marketing Collateral development</t>
  </si>
  <si>
    <t>Webinars</t>
  </si>
  <si>
    <t>Brand Team
Marketing Team
Digital COE
Business Intelligence and Analytics</t>
  </si>
  <si>
    <t>Client Partners / Account Managers
Digital Engagement practice / Digital  COE
Customer Experience Management COE</t>
  </si>
  <si>
    <t>Client Presentations</t>
  </si>
  <si>
    <t>Q1 - 2018</t>
  </si>
  <si>
    <t>Q2-2018</t>
  </si>
  <si>
    <r>
      <rPr>
        <b/>
        <sz val="10"/>
        <color theme="1"/>
        <rFont val="Calibri"/>
        <family val="2"/>
        <scheme val="minor"/>
      </rPr>
      <t>POC Development - Phase 2</t>
    </r>
    <r>
      <rPr>
        <sz val="10"/>
        <color theme="1"/>
        <rFont val="Calibri"/>
        <family val="2"/>
        <scheme val="minor"/>
      </rPr>
      <t xml:space="preserve">
New use case included</t>
    </r>
  </si>
  <si>
    <t>Next Gen marketing analytics solution hinges upon a through data strategy coupled with machine learning and advanced analytics methodologies which empowers pharma companies to shape their marketing strategies in real time based on customers' behaviors. 
Our holistic approach that takes into account all available and meaningful information related to marketing, digital, customer, Sales and provide insights, recommendations and next best actions to engage customers through personalization to improve marketing efficiency</t>
  </si>
  <si>
    <t>NexGen Technology stack</t>
  </si>
  <si>
    <t>Phase 2 Scope - New advanced analytics Reusable assests to be added</t>
  </si>
  <si>
    <t>Target End Date</t>
  </si>
  <si>
    <t>RADIUS Key Component</t>
  </si>
  <si>
    <r>
      <rPr>
        <b/>
        <sz val="12"/>
        <color theme="5" tint="-0.249977111117893"/>
        <rFont val="Calibri"/>
        <family val="2"/>
        <scheme val="minor"/>
      </rPr>
      <t>Customer Data Center:</t>
    </r>
    <r>
      <rPr>
        <b/>
        <sz val="11"/>
        <color theme="1"/>
        <rFont val="Calibri"/>
        <family val="2"/>
        <scheme val="minor"/>
      </rPr>
      <t xml:space="preserve">
</t>
    </r>
    <r>
      <rPr>
        <sz val="11"/>
        <color theme="1"/>
        <rFont val="Calibri"/>
        <family val="2"/>
        <scheme val="minor"/>
      </rPr>
      <t xml:space="preserve">Omni-channel data integration for holistic customer and business performance view
</t>
    </r>
    <r>
      <rPr>
        <b/>
        <sz val="12"/>
        <color theme="5" tint="-0.249977111117893"/>
        <rFont val="Calibri"/>
        <family val="2"/>
        <scheme val="minor"/>
      </rPr>
      <t>Intelligence and Deep Learning Marketing Suite:</t>
    </r>
    <r>
      <rPr>
        <sz val="12"/>
        <color theme="1"/>
        <rFont val="Calibri"/>
        <family val="2"/>
        <scheme val="minor"/>
      </rPr>
      <t xml:space="preserve">
</t>
    </r>
    <r>
      <rPr>
        <sz val="11"/>
        <color theme="1"/>
        <rFont val="Calibri"/>
        <family val="2"/>
        <scheme val="minor"/>
      </rPr>
      <t xml:space="preserve">Leaveraging advanced machine learning techniques and NLP algorithms to recognize hidden data patterns, identify problems and learn best practices from marketing activities to recommend ideal marketing strategies for future 
</t>
    </r>
    <r>
      <rPr>
        <b/>
        <sz val="12"/>
        <color theme="5" tint="-0.249977111117893"/>
        <rFont val="Calibri"/>
        <family val="2"/>
        <scheme val="minor"/>
      </rPr>
      <t>Personalization</t>
    </r>
    <r>
      <rPr>
        <sz val="12"/>
        <color theme="1"/>
        <rFont val="Calibri"/>
        <family val="2"/>
        <scheme val="minor"/>
      </rPr>
      <t xml:space="preserve">
</t>
    </r>
    <r>
      <rPr>
        <sz val="11"/>
        <color theme="1"/>
        <rFont val="Calibri"/>
        <family val="2"/>
        <scheme val="minor"/>
      </rPr>
      <t xml:space="preserve">Redefine the way to engage and drive top-line revenues through personalization
</t>
    </r>
    <r>
      <rPr>
        <b/>
        <sz val="12"/>
        <color theme="5" tint="-0.249977111117893"/>
        <rFont val="Calibri"/>
        <family val="2"/>
        <scheme val="minor"/>
      </rPr>
      <t xml:space="preserve">Next best action: </t>
    </r>
    <r>
      <rPr>
        <b/>
        <sz val="12"/>
        <color theme="5"/>
        <rFont val="Calibri"/>
        <family val="2"/>
        <scheme val="minor"/>
      </rPr>
      <t xml:space="preserve">
</t>
    </r>
    <r>
      <rPr>
        <sz val="11"/>
        <color theme="1"/>
        <rFont val="Calibri"/>
        <family val="2"/>
        <scheme val="minor"/>
      </rPr>
      <t xml:space="preserve">Strategic action recommendations for channel selection, budget allocation and content management  
</t>
    </r>
    <r>
      <rPr>
        <b/>
        <sz val="12"/>
        <color theme="5" tint="-0.249977111117893"/>
        <rFont val="Calibri"/>
        <family val="2"/>
        <scheme val="minor"/>
      </rPr>
      <t xml:space="preserve">Integrated Digital marketing BI platform: </t>
    </r>
    <r>
      <rPr>
        <sz val="11"/>
        <color theme="1"/>
        <rFont val="Calibri"/>
        <family val="2"/>
        <scheme val="minor"/>
      </rPr>
      <t xml:space="preserve">
Continuously monitor marketing performance across channels to identify performing and non-performing areas to optimize
</t>
    </r>
    <r>
      <rPr>
        <b/>
        <sz val="11"/>
        <color theme="5" tint="-0.249977111117893"/>
        <rFont val="Calibri"/>
        <family val="2"/>
        <scheme val="minor"/>
      </rPr>
      <t xml:space="preserve">
</t>
    </r>
    <r>
      <rPr>
        <b/>
        <sz val="12"/>
        <color theme="5" tint="-0.249977111117893"/>
        <rFont val="Calibri"/>
        <family val="2"/>
        <scheme val="minor"/>
      </rPr>
      <t>Robotic process automation engine:</t>
    </r>
    <r>
      <rPr>
        <sz val="11"/>
        <color theme="1"/>
        <rFont val="Calibri"/>
        <family val="2"/>
        <scheme val="minor"/>
      </rPr>
      <t xml:space="preserve">
Streamline, automate, and measure marketing tasks and workflows to increase operational efficiency and grow revenue faster
</t>
    </r>
    <r>
      <rPr>
        <sz val="11"/>
        <color theme="5" tint="-0.249977111117893"/>
        <rFont val="Calibri"/>
        <family val="2"/>
        <scheme val="minor"/>
      </rPr>
      <t xml:space="preserve">
</t>
    </r>
    <r>
      <rPr>
        <b/>
        <sz val="12"/>
        <color theme="5" tint="-0.249977111117893"/>
        <rFont val="Calibri"/>
        <family val="2"/>
        <scheme val="minor"/>
      </rPr>
      <t>Chat Bot (Out of Scope for Phase 1 &amp; 2)</t>
    </r>
    <r>
      <rPr>
        <sz val="11"/>
        <color theme="1"/>
        <rFont val="Calibri"/>
        <family val="2"/>
        <scheme val="minor"/>
      </rPr>
      <t xml:space="preserve">
Bot to interact with marketers and recommend optimal and best solution for their marketing needs</t>
    </r>
  </si>
  <si>
    <t>Phase 1 Scope - Reusable Assets</t>
  </si>
  <si>
    <t>Amgen, AZ, Merck, Novartis, GSK</t>
  </si>
  <si>
    <t>Remarks</t>
  </si>
  <si>
    <t>Activities / Feature</t>
  </si>
  <si>
    <t>Tasks Descriptions</t>
  </si>
  <si>
    <t>Capability decks, News Letters, White papers</t>
  </si>
  <si>
    <t>Demos, webinars, roadshows, workshops</t>
  </si>
  <si>
    <t>Role</t>
  </si>
  <si>
    <t>Level</t>
  </si>
  <si>
    <t>Digital Marketing - Business Analyst</t>
  </si>
  <si>
    <t>SA</t>
  </si>
  <si>
    <t>A</t>
  </si>
  <si>
    <t>RADIUS Solution Road map - Effort estimation for Capability development</t>
  </si>
  <si>
    <t>AD</t>
  </si>
  <si>
    <t>M</t>
  </si>
  <si>
    <t>Pilot Project / POC Implementation</t>
  </si>
  <si>
    <t>AbbVie, AZ, Novartis, Merck, GSK, Amgen</t>
  </si>
  <si>
    <t>5 Use Cases Development</t>
  </si>
  <si>
    <t>Pilot Implementation on Client Data for Phase 1 Use cases with 2 to 3 channels</t>
  </si>
  <si>
    <t>Accounts Penetration</t>
  </si>
  <si>
    <t>Team</t>
  </si>
  <si>
    <t>Core Team</t>
  </si>
  <si>
    <t>Flexi Team</t>
  </si>
  <si>
    <t xml:space="preserve">Rate Card </t>
  </si>
  <si>
    <t>Digital Marketing - Data scientist Consultant</t>
  </si>
  <si>
    <t>Data Scientist Consultant advanced analytics</t>
  </si>
  <si>
    <t>Data Scientist Consultant - R &amp; Rshiny expert</t>
  </si>
  <si>
    <t>Marketing Collateral Developer - BD</t>
  </si>
  <si>
    <t>Digital Marketing  - Solution POC / Domain expert</t>
  </si>
  <si>
    <t>Estimation</t>
  </si>
  <si>
    <r>
      <rPr>
        <b/>
        <sz val="10"/>
        <color theme="1"/>
        <rFont val="Calibri"/>
        <family val="2"/>
        <scheme val="minor"/>
      </rPr>
      <t>POC Development - Phase I</t>
    </r>
    <r>
      <rPr>
        <sz val="10"/>
        <color theme="1"/>
        <rFont val="Calibri"/>
        <family val="2"/>
        <scheme val="minor"/>
      </rPr>
      <t xml:space="preserve">
Existing Use case enhancements</t>
    </r>
  </si>
  <si>
    <t>Resource Load</t>
  </si>
  <si>
    <t>Timeline:</t>
  </si>
  <si>
    <t>Investment</t>
  </si>
  <si>
    <t>Develop marketing collaterals for showcasing solution Capabilities</t>
  </si>
  <si>
    <t>Marketing Collateral</t>
  </si>
  <si>
    <t>Webinars For onshore  / offshore account leads</t>
  </si>
  <si>
    <t>Capability showcases sessions</t>
  </si>
  <si>
    <t>Development</t>
  </si>
  <si>
    <t>Planning</t>
  </si>
  <si>
    <t>Solution Development</t>
  </si>
  <si>
    <t>Activities</t>
  </si>
  <si>
    <t>PoC</t>
  </si>
  <si>
    <t>Solution development  - Product Lead</t>
  </si>
  <si>
    <t>Solution Head</t>
  </si>
  <si>
    <t>Data Input and Consolidation Feature</t>
  </si>
  <si>
    <t>Conversion of Excel features to online using Python flask/django framework</t>
  </si>
  <si>
    <t>Recreating Business Rules in Python to convert qualitative and quantitative parameters to normalized unit of measures</t>
  </si>
  <si>
    <t>Customer Profiling</t>
  </si>
  <si>
    <t>Customer 360</t>
  </si>
  <si>
    <t>Topping up existing rules based model with Machine Learning Algorithm</t>
  </si>
  <si>
    <t>Creating an infographic representation of each customer based on internal and freely available data</t>
  </si>
  <si>
    <t>Capability Decks / Marketing Collaterals</t>
  </si>
  <si>
    <t>Revamping the existing decks to showcase upgraded solution capabilities</t>
  </si>
  <si>
    <t xml:space="preserve">1. Conversion of offline tool to online
2. Moving from Excel based tool to Python framework increasing flexibility
3. Introducing DS capabilities to enhance features </t>
  </si>
  <si>
    <r>
      <rPr>
        <b/>
        <sz val="22"/>
        <color theme="5"/>
        <rFont val="Calibri"/>
        <family val="2"/>
        <scheme val="minor"/>
      </rPr>
      <t>MENDEL 2.0</t>
    </r>
    <r>
      <rPr>
        <b/>
        <sz val="22"/>
        <color theme="1"/>
        <rFont val="Calibri"/>
        <family val="2"/>
        <scheme val="minor"/>
      </rPr>
      <t xml:space="preserve"> </t>
    </r>
    <r>
      <rPr>
        <b/>
        <sz val="18"/>
        <color theme="1"/>
        <rFont val="Calibri"/>
        <family val="2"/>
        <scheme val="minor"/>
      </rPr>
      <t xml:space="preserve">- A compelling SFE tool facilitating an efficient and standardized process of Sales planning.
</t>
    </r>
  </si>
  <si>
    <t>Raju</t>
  </si>
  <si>
    <t>Data Scientist Consultant</t>
  </si>
  <si>
    <t>Raju / Vinoth</t>
  </si>
  <si>
    <t>Vinoth</t>
  </si>
  <si>
    <t>Solution Sponsor</t>
  </si>
  <si>
    <t>Nidhi Wadehra</t>
  </si>
  <si>
    <t>Sudhir Kapoor</t>
  </si>
  <si>
    <t>Vishal / Shoaib</t>
  </si>
  <si>
    <t>Phase</t>
  </si>
  <si>
    <t>Type</t>
  </si>
  <si>
    <t>Testing</t>
  </si>
  <si>
    <t>Research</t>
  </si>
  <si>
    <t>Demos, webinars, roadshows, and workshops to gauge response</t>
  </si>
  <si>
    <t>Visuals and Insight</t>
  </si>
  <si>
    <t>Conversion of existing modules to online framework</t>
  </si>
  <si>
    <t>Deployment of Data Science Models</t>
  </si>
  <si>
    <t>Potential Datasets Identification (Internal, Commercial, Open Source)</t>
  </si>
  <si>
    <t xml:space="preserve">Integration of modules and testing </t>
  </si>
  <si>
    <t>Data Analyst</t>
  </si>
  <si>
    <t>Designer and Developer</t>
  </si>
  <si>
    <t>Solution Architect</t>
  </si>
  <si>
    <t>Raju / Subhajit</t>
  </si>
  <si>
    <r>
      <rPr>
        <b/>
        <sz val="14"/>
        <color rgb="FFFF6600"/>
        <rFont val="Calibri"/>
        <family val="2"/>
        <scheme val="minor"/>
      </rPr>
      <t>MENDEL 2.0</t>
    </r>
    <r>
      <rPr>
        <b/>
        <sz val="14"/>
        <rFont val="Calibri"/>
        <family val="2"/>
        <scheme val="minor"/>
      </rPr>
      <t xml:space="preserve"> Solution Development Roadmap</t>
    </r>
  </si>
  <si>
    <t>Layout Design, Use Case Recognition</t>
  </si>
  <si>
    <t>Develop marketing collaterals for showcasing solution capabilities</t>
  </si>
  <si>
    <t>Conversion of one of most successful Segmentation and Targeting offline tool to online and enhancing the functionality using ML algorithms.
Identifying relevant business use cases to be targeted using the tool.</t>
  </si>
  <si>
    <t xml:space="preserve">Conversion of existing charts and adding few more using Python visual libraries </t>
  </si>
  <si>
    <t>% Of Completion</t>
  </si>
  <si>
    <t>-</t>
  </si>
  <si>
    <t>Accomplishments in Details</t>
  </si>
  <si>
    <t>1. Analysed the HCP behaviours with the help of Key Driving Variables</t>
  </si>
  <si>
    <t>Upcoming Action Items</t>
  </si>
  <si>
    <t>Customer Segmentation &amp; Propensity Score</t>
  </si>
  <si>
    <t>Expected Date</t>
  </si>
  <si>
    <t>Jun 28th</t>
  </si>
  <si>
    <t>Jun 21st</t>
  </si>
  <si>
    <t>Target Ranking , Data Input, Territory Analysis and integrate the tabs</t>
  </si>
  <si>
    <t>Working on Acount Analysis tab</t>
  </si>
  <si>
    <t>Customer Segmentation analysis is completed</t>
  </si>
  <si>
    <t>Working on Propensity Score analysis</t>
  </si>
  <si>
    <t>Account Analysis across Key driving variables</t>
  </si>
  <si>
    <t>Account Analysis in terms of Actual and Target Sales visuals</t>
  </si>
  <si>
    <t>IDEA Harvest 2.0</t>
  </si>
  <si>
    <t>Mission Statement, Ideation, Design Framework,</t>
  </si>
  <si>
    <t>Shared Deck with Idea harvest team  on Problem statement by looking into various factors</t>
  </si>
  <si>
    <t>Generate Solution Conceps
Discussion with SME for Review</t>
  </si>
  <si>
    <t>Jun 26th</t>
  </si>
  <si>
    <t>Replicated the HCP page in Python</t>
  </si>
  <si>
    <t>1.Identifcation of Alternate Metrics
2. Change of Visualization</t>
  </si>
  <si>
    <t>Entering the Solution In LS Hackathon</t>
  </si>
  <si>
    <t>Idea Harvest 2.0</t>
  </si>
  <si>
    <t>Showcasing the Solution to LS leadership and Inputs from SME for further improvements</t>
  </si>
  <si>
    <t>Hackathon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</si>
</sst>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_(&quot;$&quot;* \(#,##0.00\);_(&quot;$&quot;* &quot;-&quot;??_);_(@_)"/>
    <numFmt numFmtId="43" formatCode="_(* #,##0.00_);_(* \(#,##0.00\);_(* &quot;-&quot;??_);_(@_)"/>
    <numFmt numFmtId="164" formatCode="[$-409]d\-mmm\-yy;@"/>
    <numFmt numFmtId="165" formatCode="_(* #,##0_);_(* \(#,##0\);_(* &quot;-&quot;??_);_(@_)"/>
    <numFmt numFmtId="166" formatCode="_(&quot;$&quot;* #,##0_);_(&quot;$&quot;* \(#,##0\);_(&quot;$&quot;* &quot;-&quot;??_);_(@_)"/>
  </numFmts>
  <fonts count="23" x14ac:knownFonts="1">
    <font>
      <sz val="11"/>
      <color theme="1"/>
      <name val="Calibri"/>
      <family val="2"/>
      <scheme val="minor"/>
    </font>
    <font>
      <b/>
      <sz val="11"/>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22"/>
      <color theme="1"/>
      <name val="Calibri"/>
      <family val="2"/>
      <scheme val="minor"/>
    </font>
    <font>
      <b/>
      <sz val="22"/>
      <color theme="5"/>
      <name val="Calibri"/>
      <family val="2"/>
      <scheme val="minor"/>
    </font>
    <font>
      <b/>
      <sz val="11"/>
      <color theme="0"/>
      <name val="Calibri"/>
      <family val="2"/>
      <scheme val="minor"/>
    </font>
    <font>
      <b/>
      <sz val="12"/>
      <color theme="5"/>
      <name val="Calibri"/>
      <family val="2"/>
      <scheme val="minor"/>
    </font>
    <font>
      <sz val="12"/>
      <color theme="1"/>
      <name val="Calibri"/>
      <family val="2"/>
      <scheme val="minor"/>
    </font>
    <font>
      <b/>
      <sz val="14"/>
      <color theme="5"/>
      <name val="Calibri"/>
      <family val="2"/>
      <scheme val="minor"/>
    </font>
    <font>
      <sz val="10"/>
      <color theme="1"/>
      <name val="Calibri"/>
      <family val="2"/>
      <scheme val="minor"/>
    </font>
    <font>
      <b/>
      <sz val="10"/>
      <color theme="1"/>
      <name val="Calibri"/>
      <family val="2"/>
      <scheme val="minor"/>
    </font>
    <font>
      <b/>
      <sz val="11"/>
      <color theme="5" tint="-0.249977111117893"/>
      <name val="Calibri"/>
      <family val="2"/>
      <scheme val="minor"/>
    </font>
    <font>
      <b/>
      <sz val="12"/>
      <color theme="5" tint="-0.249977111117893"/>
      <name val="Calibri"/>
      <family val="2"/>
      <scheme val="minor"/>
    </font>
    <font>
      <sz val="11"/>
      <color theme="5" tint="-0.249977111117893"/>
      <name val="Calibri"/>
      <family val="2"/>
      <scheme val="minor"/>
    </font>
    <font>
      <sz val="11"/>
      <color theme="1"/>
      <name val="Calibri"/>
      <family val="2"/>
      <scheme val="minor"/>
    </font>
    <font>
      <b/>
      <sz val="10"/>
      <color theme="0"/>
      <name val="Calibri"/>
      <family val="2"/>
      <scheme val="minor"/>
    </font>
    <font>
      <b/>
      <u/>
      <sz val="16"/>
      <color theme="1"/>
      <name val="Calibri"/>
      <family val="2"/>
      <scheme val="minor"/>
    </font>
    <font>
      <b/>
      <sz val="16"/>
      <color theme="0"/>
      <name val="Calibri"/>
      <family val="2"/>
      <scheme val="minor"/>
    </font>
    <font>
      <b/>
      <sz val="14"/>
      <name val="Calibri"/>
      <family val="2"/>
      <scheme val="minor"/>
    </font>
    <font>
      <b/>
      <sz val="14"/>
      <color rgb="FFFF6600"/>
      <name val="Calibri"/>
      <family val="2"/>
      <scheme val="minor"/>
    </font>
    <font>
      <b/>
      <sz val="12"/>
      <color theme="0"/>
      <name val="Calibri"/>
      <family val="2"/>
      <scheme val="minor"/>
    </font>
  </fonts>
  <fills count="17">
    <fill>
      <patternFill patternType="none"/>
    </fill>
    <fill>
      <patternFill patternType="gray125"/>
    </fill>
    <fill>
      <patternFill patternType="solid">
        <fgColor theme="9" tint="0.59999389629810485"/>
        <bgColor indexed="64"/>
      </patternFill>
    </fill>
    <fill>
      <patternFill patternType="solid">
        <fgColor rgb="FFFFC000"/>
        <bgColor indexed="64"/>
      </patternFill>
    </fill>
    <fill>
      <patternFill patternType="solid">
        <fgColor theme="4"/>
        <bgColor indexed="64"/>
      </patternFill>
    </fill>
    <fill>
      <patternFill patternType="solid">
        <fgColor theme="7" tint="0.79998168889431442"/>
        <bgColor indexed="64"/>
      </patternFill>
    </fill>
    <fill>
      <patternFill patternType="solid">
        <fgColor theme="3"/>
        <bgColor indexed="64"/>
      </patternFill>
    </fill>
    <fill>
      <patternFill patternType="solid">
        <fgColor theme="7"/>
        <bgColor indexed="64"/>
      </patternFill>
    </fill>
    <fill>
      <patternFill patternType="solid">
        <fgColor theme="9"/>
        <bgColor indexed="64"/>
      </patternFill>
    </fill>
    <fill>
      <patternFill patternType="solid">
        <fgColor theme="2" tint="-9.9978637043366805E-2"/>
        <bgColor indexed="64"/>
      </patternFill>
    </fill>
    <fill>
      <patternFill patternType="solid">
        <fgColor theme="4" tint="-0.499984740745262"/>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92D050"/>
        <bgColor indexed="64"/>
      </patternFill>
    </fill>
    <fill>
      <patternFill patternType="solid">
        <fgColor theme="9" tint="0.79998168889431442"/>
        <bgColor indexed="64"/>
      </patternFill>
    </fill>
    <fill>
      <patternFill patternType="solid">
        <fgColor theme="9" tint="0.39997558519241921"/>
        <bgColor indexed="64"/>
      </patternFill>
    </fill>
  </fills>
  <borders count="15">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3743705557422"/>
      </top>
      <bottom/>
      <diagonal/>
    </border>
    <border>
      <left style="thin">
        <color theme="0" tint="-0.14993743705557422"/>
      </left>
      <right style="thin">
        <color theme="0" tint="-0.14993743705557422"/>
      </right>
      <top/>
      <bottom/>
      <diagonal/>
    </border>
    <border>
      <left style="thin">
        <color theme="0" tint="-0.14993743705557422"/>
      </left>
      <right style="thin">
        <color theme="0" tint="-0.14993743705557422"/>
      </right>
      <top/>
      <bottom style="thin">
        <color theme="0" tint="-0.14993743705557422"/>
      </bottom>
      <diagonal/>
    </border>
    <border>
      <left style="thin">
        <color theme="0" tint="-0.14996795556505021"/>
      </left>
      <right style="thin">
        <color theme="0" tint="-0.14996795556505021"/>
      </right>
      <top style="thin">
        <color theme="0" tint="-0.1499679555650502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style="thin">
        <color theme="0" tint="-0.14993743705557422"/>
      </left>
      <right/>
      <top/>
      <bottom/>
      <diagonal/>
    </border>
    <border>
      <left style="thin">
        <color theme="0" tint="-0.149906918546098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indexed="64"/>
      </left>
      <right style="thin">
        <color indexed="64"/>
      </right>
      <top/>
      <bottom style="thin">
        <color indexed="64"/>
      </bottom>
      <diagonal/>
    </border>
  </borders>
  <cellStyleXfs count="4">
    <xf numFmtId="0" fontId="0" fillId="0" borderId="0"/>
    <xf numFmtId="43" fontId="16" fillId="0" borderId="0" applyFont="0" applyFill="0" applyBorder="0" applyAlignment="0" applyProtection="0"/>
    <xf numFmtId="9" fontId="16" fillId="0" borderId="0" applyFont="0" applyFill="0" applyBorder="0" applyAlignment="0" applyProtection="0"/>
    <xf numFmtId="44" fontId="16" fillId="0" borderId="0" applyFont="0" applyFill="0" applyBorder="0" applyAlignment="0" applyProtection="0"/>
  </cellStyleXfs>
  <cellXfs count="112">
    <xf numFmtId="0" fontId="0" fillId="0" borderId="0" xfId="0"/>
    <xf numFmtId="0" fontId="0" fillId="0" borderId="1" xfId="0" applyFont="1" applyBorder="1" applyAlignment="1">
      <alignment horizontal="left" vertical="top" wrapText="1"/>
    </xf>
    <xf numFmtId="0" fontId="0" fillId="0" borderId="0" xfId="0" applyAlignment="1">
      <alignment horizontal="left" vertical="top"/>
    </xf>
    <xf numFmtId="0" fontId="1" fillId="2" borderId="1" xfId="0" applyFont="1" applyFill="1" applyBorder="1" applyAlignment="1">
      <alignment horizontal="left" vertical="top"/>
    </xf>
    <xf numFmtId="0" fontId="1" fillId="3" borderId="1" xfId="0" applyFont="1" applyFill="1" applyBorder="1" applyAlignment="1">
      <alignment horizontal="left" vertical="top"/>
    </xf>
    <xf numFmtId="14" fontId="0" fillId="0" borderId="1" xfId="0" applyNumberFormat="1" applyFont="1" applyBorder="1" applyAlignment="1">
      <alignment horizontal="left" vertical="top" wrapText="1"/>
    </xf>
    <xf numFmtId="0" fontId="1" fillId="3" borderId="1" xfId="0" applyFont="1" applyFill="1" applyBorder="1" applyAlignment="1">
      <alignment horizontal="left" vertical="top" wrapText="1"/>
    </xf>
    <xf numFmtId="0" fontId="1" fillId="0" borderId="0" xfId="0" applyFont="1" applyAlignment="1">
      <alignment horizontal="left" vertical="top"/>
    </xf>
    <xf numFmtId="0" fontId="2" fillId="2" borderId="1" xfId="0" applyFont="1" applyFill="1" applyBorder="1" applyAlignment="1">
      <alignment horizontal="left" vertical="top"/>
    </xf>
    <xf numFmtId="0" fontId="1" fillId="3" borderId="5" xfId="0" applyFont="1" applyFill="1" applyBorder="1" applyAlignment="1">
      <alignment horizontal="left" vertical="top"/>
    </xf>
    <xf numFmtId="17" fontId="0" fillId="0" borderId="1" xfId="0" applyNumberFormat="1" applyFont="1" applyBorder="1" applyAlignment="1">
      <alignment horizontal="left" vertical="top" wrapText="1"/>
    </xf>
    <xf numFmtId="0" fontId="7" fillId="6" borderId="1" xfId="0" applyFont="1" applyFill="1" applyBorder="1" applyAlignment="1">
      <alignment horizontal="left" vertical="top"/>
    </xf>
    <xf numFmtId="17" fontId="7" fillId="6" borderId="1" xfId="0" applyNumberFormat="1" applyFont="1" applyFill="1" applyBorder="1" applyAlignment="1">
      <alignment horizontal="left" vertical="top"/>
    </xf>
    <xf numFmtId="0" fontId="11" fillId="0" borderId="1" xfId="0" applyFont="1" applyBorder="1" applyAlignment="1">
      <alignment horizontal="left" vertical="top" wrapText="1"/>
    </xf>
    <xf numFmtId="0" fontId="0" fillId="8" borderId="1" xfId="0" applyFill="1" applyBorder="1" applyAlignment="1">
      <alignment horizontal="left" vertical="top"/>
    </xf>
    <xf numFmtId="0" fontId="0" fillId="0" borderId="1" xfId="0" applyBorder="1" applyAlignment="1">
      <alignment horizontal="left" vertical="top"/>
    </xf>
    <xf numFmtId="0" fontId="0" fillId="7" borderId="1" xfId="0" applyFill="1" applyBorder="1" applyAlignment="1">
      <alignment horizontal="left" vertical="top"/>
    </xf>
    <xf numFmtId="0" fontId="12" fillId="0" borderId="1" xfId="0" applyFont="1" applyBorder="1" applyAlignment="1">
      <alignment horizontal="left" vertical="top"/>
    </xf>
    <xf numFmtId="0" fontId="0" fillId="4" borderId="1" xfId="0" applyFill="1" applyBorder="1" applyAlignment="1">
      <alignment horizontal="left" vertical="top"/>
    </xf>
    <xf numFmtId="0" fontId="11" fillId="0" borderId="0" xfId="0" applyFont="1" applyAlignment="1">
      <alignment horizontal="left" vertical="top"/>
    </xf>
    <xf numFmtId="17" fontId="7" fillId="10" borderId="9" xfId="0" applyNumberFormat="1" applyFont="1" applyFill="1" applyBorder="1" applyAlignment="1">
      <alignment horizontal="center" vertical="center"/>
    </xf>
    <xf numFmtId="9" fontId="17" fillId="10" borderId="9" xfId="2" applyFont="1" applyFill="1" applyBorder="1" applyAlignment="1">
      <alignment horizontal="center" vertical="center" wrapText="1"/>
    </xf>
    <xf numFmtId="0" fontId="18" fillId="0" borderId="0" xfId="0" applyFont="1"/>
    <xf numFmtId="0" fontId="0" fillId="0" borderId="0" xfId="0" applyAlignment="1">
      <alignment horizontal="left"/>
    </xf>
    <xf numFmtId="17" fontId="7" fillId="10" borderId="9" xfId="0" applyNumberFormat="1" applyFont="1" applyFill="1" applyBorder="1" applyAlignment="1">
      <alignment horizontal="left" vertical="center"/>
    </xf>
    <xf numFmtId="0" fontId="0" fillId="11" borderId="9" xfId="0" applyFill="1" applyBorder="1" applyAlignment="1">
      <alignment horizontal="left"/>
    </xf>
    <xf numFmtId="0" fontId="0" fillId="0" borderId="9" xfId="0" applyFill="1" applyBorder="1" applyAlignment="1">
      <alignment horizontal="left"/>
    </xf>
    <xf numFmtId="0" fontId="0" fillId="0" borderId="9" xfId="0" applyBorder="1" applyAlignment="1">
      <alignment horizontal="left"/>
    </xf>
    <xf numFmtId="0" fontId="11" fillId="0" borderId="0" xfId="0" applyFont="1" applyAlignment="1">
      <alignment horizontal="left" vertical="center"/>
    </xf>
    <xf numFmtId="0" fontId="11" fillId="0" borderId="0" xfId="0" applyNumberFormat="1" applyFont="1" applyAlignment="1">
      <alignment horizontal="left" vertical="center"/>
    </xf>
    <xf numFmtId="17" fontId="7" fillId="10" borderId="3" xfId="0" applyNumberFormat="1" applyFont="1" applyFill="1" applyBorder="1" applyAlignment="1">
      <alignment horizontal="left" vertical="center"/>
    </xf>
    <xf numFmtId="0" fontId="11" fillId="0" borderId="0" xfId="0" applyFont="1" applyFill="1" applyBorder="1" applyAlignment="1">
      <alignment horizontal="left" vertical="center" wrapText="1"/>
    </xf>
    <xf numFmtId="0" fontId="11" fillId="12" borderId="9" xfId="0" applyFont="1" applyFill="1" applyBorder="1" applyAlignment="1">
      <alignment horizontal="left" vertical="center" wrapText="1"/>
    </xf>
    <xf numFmtId="0" fontId="11" fillId="12" borderId="9" xfId="0" applyFont="1" applyFill="1" applyBorder="1" applyAlignment="1">
      <alignment horizontal="center" vertical="center" wrapText="1"/>
    </xf>
    <xf numFmtId="165" fontId="11" fillId="12" borderId="9" xfId="1" applyNumberFormat="1" applyFont="1" applyFill="1" applyBorder="1" applyAlignment="1">
      <alignment horizontal="left" vertical="center" wrapText="1"/>
    </xf>
    <xf numFmtId="165" fontId="11" fillId="12" borderId="9" xfId="1" applyNumberFormat="1" applyFont="1" applyFill="1" applyBorder="1" applyAlignment="1">
      <alignment horizontal="center" vertical="center" wrapText="1"/>
    </xf>
    <xf numFmtId="0" fontId="11" fillId="13" borderId="9" xfId="0" applyFont="1" applyFill="1" applyBorder="1" applyAlignment="1">
      <alignment horizontal="left" vertical="center" wrapText="1"/>
    </xf>
    <xf numFmtId="0" fontId="11" fillId="13" borderId="9" xfId="0" applyFont="1" applyFill="1" applyBorder="1" applyAlignment="1">
      <alignment horizontal="center" vertical="center" wrapText="1"/>
    </xf>
    <xf numFmtId="165" fontId="11" fillId="13" borderId="9" xfId="1" applyNumberFormat="1" applyFont="1" applyFill="1" applyBorder="1" applyAlignment="1">
      <alignment horizontal="left" vertical="center" wrapText="1"/>
    </xf>
    <xf numFmtId="165" fontId="11" fillId="13" borderId="9" xfId="1" applyNumberFormat="1" applyFont="1" applyFill="1" applyBorder="1" applyAlignment="1">
      <alignment horizontal="center" vertical="center" wrapText="1"/>
    </xf>
    <xf numFmtId="0" fontId="11" fillId="0" borderId="10" xfId="0" applyFont="1" applyBorder="1" applyAlignment="1">
      <alignment horizontal="left" vertical="center"/>
    </xf>
    <xf numFmtId="0" fontId="11" fillId="0" borderId="10" xfId="0" applyFont="1" applyBorder="1" applyAlignment="1">
      <alignment horizontal="left" vertical="center" wrapText="1"/>
    </xf>
    <xf numFmtId="43" fontId="0" fillId="0" borderId="0" xfId="0" applyNumberFormat="1" applyAlignment="1">
      <alignment horizontal="left"/>
    </xf>
    <xf numFmtId="166" fontId="11" fillId="12" borderId="9" xfId="3" applyNumberFormat="1" applyFont="1" applyFill="1" applyBorder="1" applyAlignment="1">
      <alignment horizontal="center" vertical="center" wrapText="1"/>
    </xf>
    <xf numFmtId="166" fontId="11" fillId="13" borderId="9" xfId="3" applyNumberFormat="1" applyFont="1" applyFill="1" applyBorder="1" applyAlignment="1">
      <alignment horizontal="center" vertical="center" wrapText="1"/>
    </xf>
    <xf numFmtId="166" fontId="19" fillId="8" borderId="0" xfId="3" applyNumberFormat="1" applyFont="1" applyFill="1" applyAlignment="1">
      <alignment vertical="center"/>
    </xf>
    <xf numFmtId="166" fontId="17" fillId="8" borderId="0" xfId="3" applyNumberFormat="1" applyFont="1" applyFill="1" applyAlignment="1">
      <alignment vertical="center"/>
    </xf>
    <xf numFmtId="0" fontId="12" fillId="0" borderId="0" xfId="0" applyNumberFormat="1" applyFont="1" applyAlignment="1">
      <alignment horizontal="left" vertical="center"/>
    </xf>
    <xf numFmtId="0" fontId="1" fillId="0" borderId="0" xfId="0" applyFont="1"/>
    <xf numFmtId="165" fontId="7" fillId="8" borderId="0" xfId="0" applyNumberFormat="1" applyFont="1" applyFill="1" applyAlignment="1">
      <alignment horizontal="center" vertical="center"/>
    </xf>
    <xf numFmtId="0" fontId="1" fillId="0" borderId="0" xfId="0" applyFont="1" applyAlignment="1">
      <alignment vertical="top"/>
    </xf>
    <xf numFmtId="0" fontId="0" fillId="0" borderId="0" xfId="0" applyAlignment="1">
      <alignment vertical="top"/>
    </xf>
    <xf numFmtId="0" fontId="0" fillId="2" borderId="0" xfId="0" applyFill="1"/>
    <xf numFmtId="0" fontId="20" fillId="2" borderId="0" xfId="0" applyFont="1" applyFill="1"/>
    <xf numFmtId="0" fontId="12" fillId="9" borderId="6" xfId="0" applyFont="1" applyFill="1" applyBorder="1" applyAlignment="1">
      <alignment horizontal="left" vertical="top" wrapText="1"/>
    </xf>
    <xf numFmtId="0" fontId="11" fillId="9" borderId="6" xfId="0" applyFont="1" applyFill="1" applyBorder="1" applyAlignment="1">
      <alignment horizontal="left" vertical="top" wrapText="1"/>
    </xf>
    <xf numFmtId="0" fontId="12" fillId="0" borderId="6" xfId="0" applyFont="1" applyFill="1" applyBorder="1" applyAlignment="1">
      <alignment horizontal="left" vertical="top" wrapText="1"/>
    </xf>
    <xf numFmtId="0" fontId="11" fillId="0" borderId="6" xfId="0" applyFont="1" applyFill="1" applyBorder="1" applyAlignment="1">
      <alignment horizontal="left" vertical="top" wrapText="1"/>
    </xf>
    <xf numFmtId="0" fontId="7" fillId="10" borderId="11" xfId="0" applyFont="1" applyFill="1" applyBorder="1" applyAlignment="1">
      <alignment horizontal="center" vertical="center"/>
    </xf>
    <xf numFmtId="0" fontId="7" fillId="10" borderId="0" xfId="0" applyFont="1" applyFill="1" applyBorder="1" applyAlignment="1">
      <alignment horizontal="center" vertical="center"/>
    </xf>
    <xf numFmtId="0" fontId="11" fillId="5" borderId="6" xfId="0" applyFont="1" applyFill="1" applyBorder="1" applyAlignment="1">
      <alignment horizontal="left" vertical="top" wrapText="1"/>
    </xf>
    <xf numFmtId="0" fontId="2" fillId="2" borderId="6" xfId="0" applyFont="1" applyFill="1" applyBorder="1" applyAlignment="1">
      <alignment horizontal="left" vertical="top" wrapText="1"/>
    </xf>
    <xf numFmtId="17" fontId="12" fillId="9" borderId="6" xfId="0" applyNumberFormat="1" applyFont="1" applyFill="1" applyBorder="1" applyAlignment="1">
      <alignment horizontal="center" vertical="center" wrapText="1"/>
    </xf>
    <xf numFmtId="17" fontId="11" fillId="0" borderId="6" xfId="0" applyNumberFormat="1" applyFont="1" applyFill="1" applyBorder="1" applyAlignment="1">
      <alignment horizontal="center" vertical="center" wrapText="1"/>
    </xf>
    <xf numFmtId="0" fontId="12" fillId="3" borderId="9" xfId="0" applyFont="1" applyFill="1" applyBorder="1" applyAlignment="1">
      <alignment horizontal="center" vertical="center" wrapText="1"/>
    </xf>
    <xf numFmtId="0" fontId="11" fillId="3" borderId="9" xfId="0" applyFont="1" applyFill="1" applyBorder="1" applyAlignment="1">
      <alignment horizontal="left" vertical="center" wrapText="1"/>
    </xf>
    <xf numFmtId="0" fontId="11" fillId="15" borderId="9" xfId="0" applyFont="1" applyFill="1" applyBorder="1" applyAlignment="1">
      <alignment horizontal="left" vertical="center" wrapText="1"/>
    </xf>
    <xf numFmtId="0" fontId="11" fillId="16" borderId="9" xfId="0" applyFont="1" applyFill="1" applyBorder="1" applyAlignment="1">
      <alignment horizontal="left" vertical="center" wrapText="1"/>
    </xf>
    <xf numFmtId="0" fontId="2" fillId="3" borderId="9" xfId="0" applyFont="1" applyFill="1" applyBorder="1" applyAlignment="1">
      <alignment horizontal="center" vertical="center" wrapText="1"/>
    </xf>
    <xf numFmtId="0" fontId="12" fillId="15" borderId="9" xfId="0" applyFont="1" applyFill="1" applyBorder="1" applyAlignment="1">
      <alignment horizontal="center" vertical="center" wrapText="1"/>
    </xf>
    <xf numFmtId="0" fontId="12" fillId="16" borderId="9" xfId="0" applyFont="1" applyFill="1" applyBorder="1" applyAlignment="1">
      <alignment horizontal="center" vertical="center" wrapText="1"/>
    </xf>
    <xf numFmtId="9" fontId="22" fillId="10" borderId="9" xfId="2" applyFont="1" applyFill="1" applyBorder="1" applyAlignment="1">
      <alignment horizontal="center" vertical="center" wrapText="1"/>
    </xf>
    <xf numFmtId="17" fontId="22" fillId="10" borderId="9" xfId="0" applyNumberFormat="1" applyFont="1" applyFill="1" applyBorder="1" applyAlignment="1">
      <alignment horizontal="center" vertical="center"/>
    </xf>
    <xf numFmtId="0" fontId="11" fillId="0" borderId="9" xfId="0" applyFont="1" applyBorder="1" applyAlignment="1">
      <alignment horizontal="left"/>
    </xf>
    <xf numFmtId="9" fontId="11" fillId="5" borderId="6" xfId="0" applyNumberFormat="1" applyFont="1" applyFill="1" applyBorder="1" applyAlignment="1">
      <alignment horizontal="center" vertical="center" wrapText="1"/>
    </xf>
    <xf numFmtId="164" fontId="12" fillId="0" borderId="6" xfId="0" applyNumberFormat="1" applyFont="1" applyFill="1" applyBorder="1" applyAlignment="1">
      <alignment horizontal="center" vertical="center" wrapText="1"/>
    </xf>
    <xf numFmtId="0" fontId="12" fillId="0" borderId="14" xfId="0" applyFont="1" applyFill="1" applyBorder="1" applyAlignment="1">
      <alignment horizontal="left" vertical="top" wrapText="1"/>
    </xf>
    <xf numFmtId="0" fontId="11" fillId="0" borderId="14" xfId="0" applyFont="1" applyFill="1" applyBorder="1" applyAlignment="1">
      <alignment horizontal="left" vertical="top" wrapText="1"/>
    </xf>
    <xf numFmtId="0" fontId="11" fillId="14" borderId="6" xfId="0" applyFont="1" applyFill="1" applyBorder="1" applyAlignment="1">
      <alignment horizontal="left" vertical="top" wrapText="1"/>
    </xf>
    <xf numFmtId="0" fontId="11" fillId="14" borderId="10" xfId="0" applyFont="1" applyFill="1" applyBorder="1" applyAlignment="1">
      <alignment horizontal="left" vertical="center" wrapText="1"/>
    </xf>
    <xf numFmtId="0" fontId="11" fillId="14" borderId="9" xfId="0" applyFont="1" applyFill="1" applyBorder="1" applyAlignment="1">
      <alignment horizontal="left"/>
    </xf>
    <xf numFmtId="0" fontId="0" fillId="0" borderId="2" xfId="0" applyBorder="1" applyAlignment="1">
      <alignment horizontal="left" vertical="top" wrapText="1"/>
    </xf>
    <xf numFmtId="0" fontId="0" fillId="0" borderId="3" xfId="0" applyBorder="1" applyAlignment="1">
      <alignment horizontal="left" vertical="top"/>
    </xf>
    <xf numFmtId="0" fontId="0" fillId="0" borderId="4" xfId="0" applyBorder="1" applyAlignment="1">
      <alignment horizontal="left" vertical="top"/>
    </xf>
    <xf numFmtId="0" fontId="12" fillId="0" borderId="7" xfId="0" applyFont="1" applyFill="1" applyBorder="1" applyAlignment="1">
      <alignment horizontal="left" vertical="top" wrapText="1"/>
    </xf>
    <xf numFmtId="0" fontId="12" fillId="0" borderId="8" xfId="0" applyFont="1" applyFill="1" applyBorder="1" applyAlignment="1">
      <alignment horizontal="left" vertical="top" wrapText="1"/>
    </xf>
    <xf numFmtId="0" fontId="12" fillId="0" borderId="14" xfId="0" applyFont="1" applyFill="1" applyBorder="1" applyAlignment="1">
      <alignment horizontal="left" vertical="top" wrapText="1"/>
    </xf>
    <xf numFmtId="0" fontId="11" fillId="0" borderId="7" xfId="0" applyFont="1" applyFill="1" applyBorder="1" applyAlignment="1">
      <alignment horizontal="left" vertical="top" wrapText="1"/>
    </xf>
    <xf numFmtId="0" fontId="11" fillId="0" borderId="8" xfId="0" applyFont="1" applyFill="1" applyBorder="1" applyAlignment="1">
      <alignment horizontal="left" vertical="top" wrapText="1"/>
    </xf>
    <xf numFmtId="0" fontId="11" fillId="0" borderId="14" xfId="0" applyFont="1" applyFill="1" applyBorder="1" applyAlignment="1">
      <alignment horizontal="left" vertical="top" wrapText="1"/>
    </xf>
    <xf numFmtId="164" fontId="12" fillId="0" borderId="7" xfId="0" applyNumberFormat="1" applyFont="1" applyFill="1" applyBorder="1" applyAlignment="1">
      <alignment horizontal="center" vertical="center" wrapText="1"/>
    </xf>
    <xf numFmtId="164" fontId="12" fillId="0" borderId="8" xfId="0" applyNumberFormat="1" applyFont="1" applyFill="1" applyBorder="1" applyAlignment="1">
      <alignment horizontal="center" vertical="center" wrapText="1"/>
    </xf>
    <xf numFmtId="164" fontId="12" fillId="0" borderId="14" xfId="0" applyNumberFormat="1" applyFont="1" applyFill="1" applyBorder="1" applyAlignment="1">
      <alignment horizontal="center" vertical="center" wrapText="1"/>
    </xf>
    <xf numFmtId="9" fontId="2" fillId="14" borderId="2" xfId="2" applyFont="1" applyFill="1" applyBorder="1" applyAlignment="1">
      <alignment horizontal="center" vertical="center" wrapText="1"/>
    </xf>
    <xf numFmtId="9" fontId="2" fillId="14" borderId="3" xfId="2" applyFont="1" applyFill="1" applyBorder="1" applyAlignment="1">
      <alignment horizontal="center" vertical="center" wrapText="1"/>
    </xf>
    <xf numFmtId="9" fontId="2" fillId="14" borderId="4" xfId="2" applyFont="1" applyFill="1" applyBorder="1" applyAlignment="1">
      <alignment horizontal="center" vertical="center" wrapText="1"/>
    </xf>
    <xf numFmtId="0" fontId="11" fillId="0" borderId="2" xfId="0" applyFont="1" applyBorder="1" applyAlignment="1">
      <alignment horizontal="left" vertical="center"/>
    </xf>
    <xf numFmtId="0" fontId="11" fillId="0" borderId="3" xfId="0" applyFont="1" applyBorder="1" applyAlignment="1">
      <alignment horizontal="left" vertical="center"/>
    </xf>
    <xf numFmtId="0" fontId="11" fillId="0" borderId="4" xfId="0" applyFont="1" applyBorder="1" applyAlignment="1">
      <alignment horizontal="left" vertical="center"/>
    </xf>
    <xf numFmtId="9" fontId="12" fillId="12" borderId="2" xfId="2" applyFont="1" applyFill="1" applyBorder="1" applyAlignment="1">
      <alignment horizontal="center" vertical="center" wrapText="1"/>
    </xf>
    <xf numFmtId="9" fontId="12" fillId="12" borderId="3" xfId="2" applyFont="1" applyFill="1" applyBorder="1" applyAlignment="1">
      <alignment horizontal="center" vertical="center" wrapText="1"/>
    </xf>
    <xf numFmtId="9" fontId="12" fillId="12" borderId="4" xfId="2" applyFont="1" applyFill="1" applyBorder="1" applyAlignment="1">
      <alignment horizontal="center" vertical="center" wrapText="1"/>
    </xf>
    <xf numFmtId="9" fontId="12" fillId="13" borderId="2" xfId="2" applyFont="1" applyFill="1" applyBorder="1" applyAlignment="1">
      <alignment horizontal="center" vertical="center" wrapText="1"/>
    </xf>
    <xf numFmtId="9" fontId="12" fillId="13" borderId="3" xfId="2" applyFont="1" applyFill="1" applyBorder="1" applyAlignment="1">
      <alignment horizontal="center" vertical="center" wrapText="1"/>
    </xf>
    <xf numFmtId="9" fontId="12" fillId="13" borderId="4" xfId="2" applyFont="1" applyFill="1" applyBorder="1" applyAlignment="1">
      <alignment horizontal="center" vertical="center" wrapText="1"/>
    </xf>
    <xf numFmtId="0" fontId="7" fillId="10" borderId="11" xfId="0" applyFont="1" applyFill="1" applyBorder="1" applyAlignment="1">
      <alignment horizontal="center" vertical="center"/>
    </xf>
    <xf numFmtId="0" fontId="7" fillId="10" borderId="0" xfId="0" applyFont="1" applyFill="1" applyBorder="1" applyAlignment="1">
      <alignment horizontal="center" vertical="center"/>
    </xf>
    <xf numFmtId="0" fontId="11" fillId="0" borderId="12" xfId="0" applyFont="1" applyBorder="1" applyAlignment="1">
      <alignment horizontal="left" vertical="center"/>
    </xf>
    <xf numFmtId="0" fontId="11" fillId="0" borderId="13" xfId="0" applyFont="1" applyBorder="1" applyAlignment="1">
      <alignment horizontal="left" vertical="center"/>
    </xf>
    <xf numFmtId="0" fontId="11" fillId="0" borderId="12" xfId="0" applyFont="1" applyBorder="1" applyAlignment="1">
      <alignment horizontal="left" vertical="center" wrapText="1"/>
    </xf>
    <xf numFmtId="0" fontId="11" fillId="0" borderId="13" xfId="0" applyFont="1" applyBorder="1" applyAlignment="1">
      <alignment horizontal="left" vertical="center" wrapText="1"/>
    </xf>
    <xf numFmtId="0" fontId="0" fillId="0" borderId="0" xfId="0" applyAlignment="1">
      <alignment horizontal="left" vertical="center"/>
    </xf>
  </cellXfs>
  <cellStyles count="4">
    <cellStyle name="Comma" xfId="1" builtinId="3"/>
    <cellStyle name="Currency" xfId="3" builtinId="4"/>
    <cellStyle name="Normal" xfId="0" builtinId="0"/>
    <cellStyle name="Percent" xfId="2" builtinId="5"/>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4</xdr:col>
      <xdr:colOff>1400175</xdr:colOff>
      <xdr:row>23</xdr:row>
      <xdr:rowOff>76200</xdr:rowOff>
    </xdr:from>
    <xdr:to>
      <xdr:col>8</xdr:col>
      <xdr:colOff>3638550</xdr:colOff>
      <xdr:row>23</xdr:row>
      <xdr:rowOff>428625</xdr:rowOff>
    </xdr:to>
    <xdr:sp macro="" textlink="">
      <xdr:nvSpPr>
        <xdr:cNvPr id="2" name="Rectangle 1"/>
        <xdr:cNvSpPr/>
      </xdr:nvSpPr>
      <xdr:spPr>
        <a:xfrm>
          <a:off x="9344025" y="8658225"/>
          <a:ext cx="4838700" cy="352425"/>
        </a:xfrm>
        <a:prstGeom prst="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38100</xdr:colOff>
      <xdr:row>24</xdr:row>
      <xdr:rowOff>76200</xdr:rowOff>
    </xdr:from>
    <xdr:to>
      <xdr:col>9</xdr:col>
      <xdr:colOff>0</xdr:colOff>
      <xdr:row>24</xdr:row>
      <xdr:rowOff>428625</xdr:rowOff>
    </xdr:to>
    <xdr:sp macro="" textlink="">
      <xdr:nvSpPr>
        <xdr:cNvPr id="3" name="Rectangle 2"/>
        <xdr:cNvSpPr/>
      </xdr:nvSpPr>
      <xdr:spPr>
        <a:xfrm>
          <a:off x="10582275" y="9153525"/>
          <a:ext cx="3609975" cy="352425"/>
        </a:xfrm>
        <a:prstGeom prst="rect">
          <a:avLst/>
        </a:prstGeom>
        <a:solidFill>
          <a:schemeClr val="bg2">
            <a:lumMod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24"/>
  <sheetViews>
    <sheetView showGridLines="0" zoomScaleNormal="100" workbookViewId="0">
      <pane xSplit="2" ySplit="5" topLeftCell="E6" activePane="bottomRight" state="frozen"/>
      <selection pane="topRight" activeCell="C1" sqref="C1"/>
      <selection pane="bottomLeft" activeCell="A6" sqref="A6"/>
      <selection pane="bottomRight" activeCell="G6" sqref="G6"/>
    </sheetView>
  </sheetViews>
  <sheetFormatPr defaultRowHeight="15" x14ac:dyDescent="0.25"/>
  <cols>
    <col min="1" max="1" width="2.42578125" style="2" customWidth="1"/>
    <col min="2" max="2" width="32.42578125" style="2" customWidth="1"/>
    <col min="3" max="3" width="55.85546875" style="2" customWidth="1"/>
    <col min="4" max="4" width="76.140625" style="2" customWidth="1"/>
    <col min="5" max="5" width="16.140625" style="2" customWidth="1"/>
    <col min="6" max="6" width="24.42578125" style="2" customWidth="1"/>
    <col min="7" max="7" width="25.7109375" style="2" customWidth="1"/>
    <col min="8" max="8" width="76.28515625" style="2" customWidth="1"/>
    <col min="9" max="9" width="19.42578125" style="2" customWidth="1"/>
    <col min="10" max="10" width="40.7109375" style="2" customWidth="1"/>
    <col min="11" max="11" width="18.5703125" style="2" customWidth="1"/>
    <col min="12" max="12" width="18.85546875" style="2" bestFit="1" customWidth="1"/>
    <col min="13" max="13" width="20.140625" style="2" bestFit="1" customWidth="1"/>
    <col min="14" max="16384" width="9.140625" style="2"/>
  </cols>
  <sheetData>
    <row r="2" spans="2:13" ht="28.5" x14ac:dyDescent="0.25">
      <c r="B2" s="7" t="s">
        <v>1</v>
      </c>
    </row>
    <row r="3" spans="2:13" hidden="1" x14ac:dyDescent="0.25"/>
    <row r="5" spans="2:13" ht="33" customHeight="1" x14ac:dyDescent="0.25">
      <c r="B5" s="8" t="s">
        <v>0</v>
      </c>
      <c r="C5" s="3" t="s">
        <v>30</v>
      </c>
      <c r="D5" s="3" t="s">
        <v>32</v>
      </c>
      <c r="E5" s="3" t="s">
        <v>29</v>
      </c>
      <c r="F5" s="3" t="s">
        <v>2</v>
      </c>
      <c r="G5" s="3" t="s">
        <v>27</v>
      </c>
      <c r="H5" s="4" t="s">
        <v>28</v>
      </c>
      <c r="I5" s="6" t="s">
        <v>9</v>
      </c>
      <c r="J5" s="6" t="s">
        <v>10</v>
      </c>
      <c r="K5" s="9" t="s">
        <v>3</v>
      </c>
      <c r="L5" s="9" t="s">
        <v>4</v>
      </c>
      <c r="M5" s="9" t="s">
        <v>5</v>
      </c>
    </row>
    <row r="6" spans="2:13" ht="409.5" x14ac:dyDescent="0.25">
      <c r="B6" s="1" t="s">
        <v>26</v>
      </c>
      <c r="C6" s="1" t="s">
        <v>31</v>
      </c>
      <c r="D6" s="1" t="s">
        <v>12</v>
      </c>
      <c r="E6" s="5">
        <v>43131</v>
      </c>
      <c r="F6" s="1" t="s">
        <v>7</v>
      </c>
      <c r="G6" s="1" t="s">
        <v>8</v>
      </c>
      <c r="H6" s="1" t="s">
        <v>13</v>
      </c>
      <c r="I6" s="10">
        <v>43190</v>
      </c>
      <c r="J6" s="1" t="s">
        <v>11</v>
      </c>
      <c r="K6" s="81" t="s">
        <v>33</v>
      </c>
      <c r="L6" s="81" t="s">
        <v>20</v>
      </c>
      <c r="M6" s="81" t="s">
        <v>21</v>
      </c>
    </row>
    <row r="7" spans="2:13" x14ac:dyDescent="0.25">
      <c r="K7" s="82"/>
      <c r="L7" s="82"/>
      <c r="M7" s="82"/>
    </row>
    <row r="8" spans="2:13" x14ac:dyDescent="0.25">
      <c r="K8" s="82"/>
      <c r="L8" s="82"/>
      <c r="M8" s="82"/>
    </row>
    <row r="9" spans="2:13" x14ac:dyDescent="0.25">
      <c r="K9" s="82"/>
      <c r="L9" s="82"/>
      <c r="M9" s="82"/>
    </row>
    <row r="10" spans="2:13" x14ac:dyDescent="0.25">
      <c r="K10" s="82"/>
      <c r="L10" s="82"/>
      <c r="M10" s="82"/>
    </row>
    <row r="11" spans="2:13" x14ac:dyDescent="0.25">
      <c r="K11" s="82"/>
      <c r="L11" s="82"/>
      <c r="M11" s="82"/>
    </row>
    <row r="12" spans="2:13" x14ac:dyDescent="0.25">
      <c r="K12" s="82"/>
      <c r="L12" s="82"/>
      <c r="M12" s="82"/>
    </row>
    <row r="13" spans="2:13" x14ac:dyDescent="0.25">
      <c r="K13" s="82"/>
      <c r="L13" s="82"/>
      <c r="M13" s="82"/>
    </row>
    <row r="14" spans="2:13" x14ac:dyDescent="0.25">
      <c r="K14" s="82"/>
      <c r="L14" s="82"/>
      <c r="M14" s="82"/>
    </row>
    <row r="15" spans="2:13" x14ac:dyDescent="0.25">
      <c r="K15" s="82"/>
      <c r="L15" s="82"/>
      <c r="M15" s="82"/>
    </row>
    <row r="16" spans="2:13" x14ac:dyDescent="0.25">
      <c r="K16" s="82"/>
      <c r="L16" s="82"/>
      <c r="M16" s="82"/>
    </row>
    <row r="17" spans="11:13" x14ac:dyDescent="0.25">
      <c r="K17" s="82"/>
      <c r="L17" s="82"/>
      <c r="M17" s="82"/>
    </row>
    <row r="18" spans="11:13" x14ac:dyDescent="0.25">
      <c r="K18" s="82"/>
      <c r="L18" s="82"/>
      <c r="M18" s="82"/>
    </row>
    <row r="19" spans="11:13" x14ac:dyDescent="0.25">
      <c r="K19" s="82"/>
      <c r="L19" s="82"/>
      <c r="M19" s="82"/>
    </row>
    <row r="20" spans="11:13" x14ac:dyDescent="0.25">
      <c r="K20" s="82"/>
      <c r="L20" s="82"/>
      <c r="M20" s="82"/>
    </row>
    <row r="21" spans="11:13" x14ac:dyDescent="0.25">
      <c r="K21" s="82"/>
      <c r="L21" s="82"/>
      <c r="M21" s="82"/>
    </row>
    <row r="22" spans="11:13" x14ac:dyDescent="0.25">
      <c r="K22" s="82"/>
      <c r="L22" s="82"/>
      <c r="M22" s="82"/>
    </row>
    <row r="23" spans="11:13" x14ac:dyDescent="0.25">
      <c r="K23" s="82"/>
      <c r="L23" s="82"/>
      <c r="M23" s="82"/>
    </row>
    <row r="24" spans="11:13" x14ac:dyDescent="0.25">
      <c r="K24" s="83"/>
      <c r="L24" s="83"/>
      <c r="M24" s="83"/>
    </row>
  </sheetData>
  <mergeCells count="3">
    <mergeCell ref="K6:K24"/>
    <mergeCell ref="L6:L24"/>
    <mergeCell ref="M6:M2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2:K25"/>
  <sheetViews>
    <sheetView showGridLines="0" topLeftCell="A2" workbookViewId="0">
      <pane xSplit="2" ySplit="4" topLeftCell="E6" activePane="bottomRight" state="frozen"/>
      <selection activeCell="A2" sqref="A2"/>
      <selection pane="topRight" activeCell="C2" sqref="C2"/>
      <selection pane="bottomLeft" activeCell="A6" sqref="A6"/>
      <selection pane="bottomRight" activeCell="F17" sqref="F17"/>
    </sheetView>
  </sheetViews>
  <sheetFormatPr defaultRowHeight="15" x14ac:dyDescent="0.25"/>
  <cols>
    <col min="1" max="1" width="2.42578125" style="2" customWidth="1"/>
    <col min="2" max="2" width="22.28515625" style="2" customWidth="1"/>
    <col min="3" max="3" width="47.28515625" style="2" customWidth="1"/>
    <col min="4" max="4" width="39.5703125" style="2" customWidth="1"/>
    <col min="5" max="5" width="51.5703125" style="2" customWidth="1"/>
    <col min="6" max="6" width="17.7109375" style="2" bestFit="1" customWidth="1"/>
    <col min="7" max="7" width="12.42578125" style="2" bestFit="1" customWidth="1"/>
    <col min="8" max="8" width="28.28515625" style="2" bestFit="1" customWidth="1"/>
    <col min="9" max="9" width="41" style="2" hidden="1" customWidth="1"/>
    <col min="10" max="10" width="24.140625" style="2" bestFit="1" customWidth="1"/>
    <col min="11" max="11" width="11.5703125" style="2" customWidth="1"/>
    <col min="12" max="16384" width="9.140625" style="2"/>
  </cols>
  <sheetData>
    <row r="2" spans="2:11" ht="28.5" x14ac:dyDescent="0.25">
      <c r="B2" s="50" t="s">
        <v>87</v>
      </c>
      <c r="C2" s="50"/>
      <c r="D2" s="51"/>
      <c r="E2" s="111"/>
      <c r="F2" s="51"/>
      <c r="G2" s="51"/>
      <c r="H2" s="51"/>
      <c r="I2" s="51"/>
    </row>
    <row r="3" spans="2:11" x14ac:dyDescent="0.25">
      <c r="B3" s="7"/>
    </row>
    <row r="5" spans="2:11" ht="30.75" customHeight="1" x14ac:dyDescent="0.25">
      <c r="B5" s="61" t="s">
        <v>6</v>
      </c>
      <c r="C5" s="61" t="s">
        <v>15</v>
      </c>
      <c r="D5" s="61" t="s">
        <v>35</v>
      </c>
      <c r="E5" s="61" t="s">
        <v>16</v>
      </c>
      <c r="F5" s="61" t="s">
        <v>115</v>
      </c>
      <c r="G5" s="61" t="s">
        <v>17</v>
      </c>
      <c r="H5" s="61" t="s">
        <v>117</v>
      </c>
      <c r="I5" s="61" t="s">
        <v>34</v>
      </c>
      <c r="J5" s="61" t="s">
        <v>119</v>
      </c>
      <c r="K5" s="61" t="s">
        <v>121</v>
      </c>
    </row>
    <row r="6" spans="2:11" ht="38.25" x14ac:dyDescent="0.25">
      <c r="B6" s="84" t="s">
        <v>72</v>
      </c>
      <c r="C6" s="87" t="s">
        <v>113</v>
      </c>
      <c r="D6" s="57" t="s">
        <v>77</v>
      </c>
      <c r="E6" s="60" t="s">
        <v>78</v>
      </c>
      <c r="F6" s="74">
        <v>0.8</v>
      </c>
      <c r="G6" s="90">
        <v>43646</v>
      </c>
      <c r="H6" s="75" t="s">
        <v>124</v>
      </c>
      <c r="I6" s="87" t="s">
        <v>86</v>
      </c>
      <c r="J6" s="75" t="s">
        <v>125</v>
      </c>
      <c r="K6" s="75" t="s">
        <v>122</v>
      </c>
    </row>
    <row r="7" spans="2:11" ht="38.25" x14ac:dyDescent="0.25">
      <c r="B7" s="85"/>
      <c r="C7" s="88"/>
      <c r="D7" s="57" t="s">
        <v>80</v>
      </c>
      <c r="E7" s="60" t="s">
        <v>79</v>
      </c>
      <c r="F7" s="74">
        <v>1</v>
      </c>
      <c r="G7" s="91"/>
      <c r="H7" s="75" t="s">
        <v>118</v>
      </c>
      <c r="I7" s="88"/>
      <c r="J7" s="75" t="s">
        <v>116</v>
      </c>
      <c r="K7" s="75" t="s">
        <v>116</v>
      </c>
    </row>
    <row r="8" spans="2:11" ht="25.5" x14ac:dyDescent="0.25">
      <c r="B8" s="85"/>
      <c r="C8" s="88"/>
      <c r="D8" s="57" t="s">
        <v>120</v>
      </c>
      <c r="E8" s="60" t="s">
        <v>82</v>
      </c>
      <c r="F8" s="74">
        <v>0.95</v>
      </c>
      <c r="G8" s="91"/>
      <c r="H8" s="75" t="s">
        <v>126</v>
      </c>
      <c r="I8" s="88"/>
      <c r="J8" s="75" t="s">
        <v>127</v>
      </c>
      <c r="K8" s="75" t="s">
        <v>122</v>
      </c>
    </row>
    <row r="9" spans="2:11" ht="38.25" x14ac:dyDescent="0.25">
      <c r="B9" s="85"/>
      <c r="C9" s="88"/>
      <c r="D9" s="57" t="s">
        <v>101</v>
      </c>
      <c r="E9" s="60" t="s">
        <v>114</v>
      </c>
      <c r="F9" s="74">
        <v>0.65</v>
      </c>
      <c r="G9" s="91"/>
      <c r="H9" s="75" t="s">
        <v>128</v>
      </c>
      <c r="I9" s="88"/>
      <c r="J9" s="75" t="s">
        <v>129</v>
      </c>
      <c r="K9" s="75" t="s">
        <v>123</v>
      </c>
    </row>
    <row r="10" spans="2:11" ht="38.25" x14ac:dyDescent="0.25">
      <c r="B10" s="86"/>
      <c r="C10" s="89"/>
      <c r="D10" s="57" t="s">
        <v>81</v>
      </c>
      <c r="E10" s="60" t="s">
        <v>83</v>
      </c>
      <c r="F10" s="74">
        <v>0.6</v>
      </c>
      <c r="G10" s="92"/>
      <c r="H10" s="75" t="s">
        <v>135</v>
      </c>
      <c r="I10" s="89"/>
      <c r="J10" s="75" t="s">
        <v>136</v>
      </c>
      <c r="K10" s="75" t="s">
        <v>122</v>
      </c>
    </row>
    <row r="11" spans="2:11" ht="38.25" x14ac:dyDescent="0.25">
      <c r="B11" s="76"/>
      <c r="C11" s="77" t="s">
        <v>137</v>
      </c>
      <c r="D11" s="78" t="s">
        <v>130</v>
      </c>
      <c r="E11" s="60" t="s">
        <v>131</v>
      </c>
      <c r="F11" s="74">
        <v>0.3</v>
      </c>
      <c r="G11" s="62">
        <v>43647</v>
      </c>
      <c r="H11" s="75" t="s">
        <v>132</v>
      </c>
      <c r="I11" s="77"/>
      <c r="J11" s="75" t="s">
        <v>133</v>
      </c>
      <c r="K11" s="75" t="s">
        <v>134</v>
      </c>
    </row>
    <row r="12" spans="2:11" ht="25.5" x14ac:dyDescent="0.25">
      <c r="B12" s="54" t="s">
        <v>18</v>
      </c>
      <c r="C12" s="55" t="s">
        <v>66</v>
      </c>
      <c r="D12" s="55" t="s">
        <v>84</v>
      </c>
      <c r="E12" s="55"/>
      <c r="F12" s="74" t="s">
        <v>116</v>
      </c>
      <c r="G12" s="62">
        <v>43647</v>
      </c>
      <c r="H12" s="62" t="s">
        <v>116</v>
      </c>
      <c r="I12" s="55" t="s">
        <v>85</v>
      </c>
      <c r="J12" s="62" t="s">
        <v>116</v>
      </c>
      <c r="K12" s="62" t="s">
        <v>116</v>
      </c>
    </row>
    <row r="13" spans="2:11" s="19" customFormat="1" ht="25.5" x14ac:dyDescent="0.25">
      <c r="B13" s="56" t="s">
        <v>19</v>
      </c>
      <c r="C13" s="57" t="s">
        <v>100</v>
      </c>
      <c r="D13" s="57" t="s">
        <v>68</v>
      </c>
      <c r="E13" s="55"/>
      <c r="F13" s="74" t="s">
        <v>116</v>
      </c>
      <c r="G13" s="63">
        <v>43647</v>
      </c>
      <c r="H13" s="63" t="s">
        <v>116</v>
      </c>
      <c r="I13" s="57" t="s">
        <v>69</v>
      </c>
      <c r="J13" s="63" t="s">
        <v>116</v>
      </c>
      <c r="K13" s="63" t="s">
        <v>116</v>
      </c>
    </row>
    <row r="20" spans="2:9" ht="28.5" hidden="1" customHeight="1" x14ac:dyDescent="0.25">
      <c r="B20" s="11" t="s">
        <v>6</v>
      </c>
      <c r="C20" s="12">
        <v>43040</v>
      </c>
      <c r="D20" s="12">
        <v>43070</v>
      </c>
      <c r="E20" s="12" t="s">
        <v>23</v>
      </c>
      <c r="F20" s="12"/>
      <c r="G20" s="12"/>
      <c r="H20" s="12"/>
      <c r="I20" s="11" t="s">
        <v>24</v>
      </c>
    </row>
    <row r="21" spans="2:9" ht="38.25" hidden="1" customHeight="1" x14ac:dyDescent="0.25">
      <c r="B21" s="13" t="s">
        <v>62</v>
      </c>
      <c r="C21" s="14"/>
      <c r="D21" s="14"/>
      <c r="E21" s="15"/>
      <c r="F21" s="15"/>
      <c r="G21" s="15"/>
      <c r="H21" s="15"/>
      <c r="I21" s="15"/>
    </row>
    <row r="22" spans="2:9" ht="42.75" hidden="1" customHeight="1" x14ac:dyDescent="0.25">
      <c r="B22" s="13" t="s">
        <v>25</v>
      </c>
      <c r="C22" s="15"/>
      <c r="D22" s="16"/>
      <c r="E22" s="16"/>
      <c r="F22" s="16"/>
      <c r="G22" s="16"/>
      <c r="H22" s="16"/>
      <c r="I22" s="15"/>
    </row>
    <row r="23" spans="2:9" ht="39.75" hidden="1" customHeight="1" x14ac:dyDescent="0.25">
      <c r="B23" s="17" t="s">
        <v>18</v>
      </c>
      <c r="C23" s="15"/>
      <c r="D23" s="15"/>
      <c r="E23" s="18"/>
      <c r="F23" s="18"/>
      <c r="G23" s="18"/>
      <c r="H23" s="18"/>
      <c r="I23" s="15"/>
    </row>
    <row r="24" spans="2:9" ht="39" hidden="1" customHeight="1" x14ac:dyDescent="0.25">
      <c r="B24" s="17" t="s">
        <v>19</v>
      </c>
      <c r="C24" s="15"/>
      <c r="D24" s="15"/>
      <c r="E24" s="15"/>
      <c r="F24" s="15"/>
      <c r="G24" s="15"/>
      <c r="H24" s="15"/>
      <c r="I24" s="15"/>
    </row>
    <row r="25" spans="2:9" ht="38.25" hidden="1" customHeight="1" x14ac:dyDescent="0.25">
      <c r="B25" s="17" t="s">
        <v>22</v>
      </c>
      <c r="C25" s="15"/>
      <c r="D25" s="15"/>
      <c r="E25" s="15"/>
      <c r="F25" s="15"/>
      <c r="G25" s="15"/>
      <c r="H25" s="15"/>
      <c r="I25" s="15"/>
    </row>
  </sheetData>
  <mergeCells count="4">
    <mergeCell ref="B6:B10"/>
    <mergeCell ref="C6:C10"/>
    <mergeCell ref="G6:G10"/>
    <mergeCell ref="I6:I10"/>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3:R24"/>
  <sheetViews>
    <sheetView showGridLines="0" tabSelected="1" zoomScale="80" zoomScaleNormal="80" workbookViewId="0">
      <selection activeCell="H5" sqref="H5"/>
    </sheetView>
  </sheetViews>
  <sheetFormatPr defaultRowHeight="15" x14ac:dyDescent="0.25"/>
  <cols>
    <col min="1" max="1" width="1.28515625" customWidth="1"/>
    <col min="2" max="2" width="13.42578125" customWidth="1"/>
    <col min="3" max="3" width="43.42578125" customWidth="1"/>
    <col min="4" max="4" width="59.28515625" customWidth="1"/>
    <col min="5" max="5" width="15.7109375" customWidth="1"/>
    <col min="6" max="6" width="2.28515625" customWidth="1"/>
    <col min="7" max="10" width="9.28515625" customWidth="1"/>
    <col min="11" max="12" width="8.140625" customWidth="1"/>
    <col min="13" max="18" width="9.28515625" customWidth="1"/>
    <col min="19" max="19" width="2.7109375" customWidth="1"/>
    <col min="20" max="20" width="15.42578125" customWidth="1"/>
  </cols>
  <sheetData>
    <row r="3" spans="1:18" ht="21" x14ac:dyDescent="0.35">
      <c r="A3" s="22"/>
      <c r="B3" s="53" t="s">
        <v>110</v>
      </c>
      <c r="C3" s="52"/>
    </row>
    <row r="4" spans="1:18" x14ac:dyDescent="0.25">
      <c r="G4" s="48" t="s">
        <v>64</v>
      </c>
    </row>
    <row r="5" spans="1:18" s="23" customFormat="1" ht="25.5" customHeight="1" x14ac:dyDescent="0.25">
      <c r="C5" s="58" t="s">
        <v>96</v>
      </c>
      <c r="D5" s="59" t="s">
        <v>73</v>
      </c>
      <c r="E5" s="59" t="s">
        <v>97</v>
      </c>
      <c r="G5" s="24">
        <v>43466</v>
      </c>
      <c r="H5" s="24">
        <v>43497</v>
      </c>
      <c r="I5" s="24">
        <v>43525</v>
      </c>
      <c r="J5" s="24">
        <v>43556</v>
      </c>
      <c r="K5" s="24">
        <v>43586</v>
      </c>
      <c r="L5" s="24">
        <v>43617</v>
      </c>
      <c r="M5" s="24">
        <v>43647</v>
      </c>
      <c r="N5" s="24">
        <v>43678</v>
      </c>
      <c r="O5" s="24">
        <v>43709</v>
      </c>
      <c r="P5" s="24">
        <v>43739</v>
      </c>
      <c r="Q5" s="24">
        <v>43770</v>
      </c>
      <c r="R5" s="24">
        <v>43800</v>
      </c>
    </row>
    <row r="6" spans="1:18" s="23" customFormat="1" ht="18" customHeight="1" x14ac:dyDescent="0.25">
      <c r="C6" s="40" t="s">
        <v>71</v>
      </c>
      <c r="D6" s="40" t="s">
        <v>111</v>
      </c>
      <c r="E6" s="73" t="s">
        <v>71</v>
      </c>
      <c r="G6" s="25"/>
      <c r="H6" s="27"/>
      <c r="I6" s="27"/>
      <c r="J6" s="27"/>
      <c r="K6" s="27"/>
      <c r="L6" s="27"/>
      <c r="M6" s="27"/>
      <c r="N6" s="27"/>
      <c r="O6" s="27"/>
      <c r="P6" s="27"/>
      <c r="Q6" s="27"/>
      <c r="R6" s="27"/>
    </row>
    <row r="7" spans="1:18" s="23" customFormat="1" x14ac:dyDescent="0.25">
      <c r="C7" s="96" t="s">
        <v>72</v>
      </c>
      <c r="D7" s="41" t="s">
        <v>102</v>
      </c>
      <c r="E7" s="73" t="s">
        <v>70</v>
      </c>
      <c r="G7" s="25"/>
      <c r="H7" s="25"/>
      <c r="I7" s="25"/>
      <c r="J7" s="25"/>
      <c r="K7" s="25"/>
      <c r="L7" s="27"/>
      <c r="M7" s="27"/>
      <c r="N7" s="27"/>
      <c r="O7" s="27"/>
      <c r="P7" s="27"/>
      <c r="Q7" s="27"/>
      <c r="R7" s="27"/>
    </row>
    <row r="8" spans="1:18" s="23" customFormat="1" x14ac:dyDescent="0.25">
      <c r="C8" s="97"/>
      <c r="D8" s="41" t="s">
        <v>104</v>
      </c>
      <c r="E8" s="73" t="s">
        <v>99</v>
      </c>
      <c r="G8" s="25"/>
      <c r="H8" s="25"/>
      <c r="I8" s="27"/>
      <c r="J8" s="27"/>
      <c r="K8" s="27"/>
      <c r="L8" s="27"/>
      <c r="M8" s="27"/>
      <c r="N8" s="27"/>
      <c r="O8" s="27"/>
      <c r="P8" s="27"/>
      <c r="Q8" s="27"/>
      <c r="R8" s="27"/>
    </row>
    <row r="9" spans="1:18" s="23" customFormat="1" x14ac:dyDescent="0.25">
      <c r="C9" s="97"/>
      <c r="D9" s="41" t="s">
        <v>103</v>
      </c>
      <c r="E9" s="73" t="s">
        <v>70</v>
      </c>
      <c r="G9" s="27"/>
      <c r="H9" s="25"/>
      <c r="I9" s="25"/>
      <c r="J9" s="25"/>
      <c r="K9" s="25"/>
      <c r="L9" s="27"/>
      <c r="M9" s="27"/>
      <c r="N9" s="27"/>
      <c r="O9" s="27"/>
      <c r="P9" s="27"/>
      <c r="Q9" s="27"/>
      <c r="R9" s="27"/>
    </row>
    <row r="10" spans="1:18" s="23" customFormat="1" x14ac:dyDescent="0.25">
      <c r="C10" s="98"/>
      <c r="D10" s="40" t="s">
        <v>105</v>
      </c>
      <c r="E10" s="73" t="s">
        <v>98</v>
      </c>
      <c r="G10" s="27"/>
      <c r="H10" s="27"/>
      <c r="I10" s="27"/>
      <c r="J10" s="27"/>
      <c r="K10" s="27"/>
      <c r="L10" s="25"/>
      <c r="M10" s="27"/>
      <c r="N10" s="27"/>
      <c r="O10" s="27"/>
      <c r="P10" s="27"/>
      <c r="Q10" s="27"/>
      <c r="R10" s="27"/>
    </row>
    <row r="11" spans="1:18" s="23" customFormat="1" x14ac:dyDescent="0.25">
      <c r="C11" s="41" t="s">
        <v>67</v>
      </c>
      <c r="D11" s="40" t="s">
        <v>112</v>
      </c>
      <c r="E11" s="73" t="s">
        <v>70</v>
      </c>
      <c r="G11" s="27"/>
      <c r="H11" s="27"/>
      <c r="I11" s="27"/>
      <c r="J11" s="27"/>
      <c r="K11" s="27"/>
      <c r="L11" s="26"/>
      <c r="M11" s="25"/>
      <c r="N11" s="27"/>
      <c r="O11" s="27"/>
      <c r="P11" s="27"/>
      <c r="Q11" s="27"/>
      <c r="R11" s="27"/>
    </row>
    <row r="12" spans="1:18" s="23" customFormat="1" ht="25.5" x14ac:dyDescent="0.25">
      <c r="C12" s="79" t="s">
        <v>138</v>
      </c>
      <c r="D12" s="79" t="s">
        <v>139</v>
      </c>
      <c r="E12" s="80" t="s">
        <v>140</v>
      </c>
      <c r="G12" s="27"/>
      <c r="H12" s="27"/>
      <c r="I12" s="27"/>
      <c r="J12" s="27"/>
      <c r="K12" s="27"/>
      <c r="L12" s="26"/>
      <c r="M12" s="25"/>
      <c r="N12" s="27"/>
      <c r="O12" s="27"/>
      <c r="P12" s="27"/>
      <c r="Q12" s="27"/>
      <c r="R12" s="27"/>
    </row>
    <row r="13" spans="1:18" x14ac:dyDescent="0.25">
      <c r="C13" s="41" t="s">
        <v>19</v>
      </c>
      <c r="D13" s="41" t="s">
        <v>100</v>
      </c>
      <c r="E13" s="73" t="s">
        <v>19</v>
      </c>
      <c r="F13" s="23"/>
      <c r="G13" s="27"/>
      <c r="H13" s="27"/>
      <c r="I13" s="27"/>
      <c r="J13" s="27"/>
      <c r="K13" s="27"/>
      <c r="L13" s="27"/>
      <c r="M13" s="25"/>
      <c r="N13" s="25"/>
      <c r="O13" s="25"/>
      <c r="P13" s="25"/>
      <c r="Q13" s="25"/>
      <c r="R13" s="25"/>
    </row>
    <row r="17" spans="3:5" ht="22.5" customHeight="1" x14ac:dyDescent="0.25">
      <c r="C17" s="71" t="s">
        <v>52</v>
      </c>
      <c r="D17" s="72" t="s">
        <v>39</v>
      </c>
      <c r="E17" s="72" t="s">
        <v>74</v>
      </c>
    </row>
    <row r="18" spans="3:5" ht="15.75" x14ac:dyDescent="0.25">
      <c r="C18" s="68" t="s">
        <v>76</v>
      </c>
      <c r="D18" s="65" t="s">
        <v>92</v>
      </c>
      <c r="E18" s="64" t="s">
        <v>93</v>
      </c>
    </row>
    <row r="19" spans="3:5" x14ac:dyDescent="0.25">
      <c r="C19" s="93" t="s">
        <v>53</v>
      </c>
      <c r="D19" s="66" t="s">
        <v>75</v>
      </c>
      <c r="E19" s="69" t="s">
        <v>94</v>
      </c>
    </row>
    <row r="20" spans="3:5" x14ac:dyDescent="0.25">
      <c r="C20" s="94"/>
      <c r="D20" s="67" t="s">
        <v>108</v>
      </c>
      <c r="E20" s="70" t="s">
        <v>88</v>
      </c>
    </row>
    <row r="21" spans="3:5" x14ac:dyDescent="0.25">
      <c r="C21" s="94"/>
      <c r="D21" s="66" t="s">
        <v>89</v>
      </c>
      <c r="E21" s="69" t="s">
        <v>109</v>
      </c>
    </row>
    <row r="22" spans="3:5" ht="15" customHeight="1" x14ac:dyDescent="0.25">
      <c r="C22" s="94"/>
      <c r="D22" s="67" t="s">
        <v>106</v>
      </c>
      <c r="E22" s="70" t="s">
        <v>91</v>
      </c>
    </row>
    <row r="23" spans="3:5" x14ac:dyDescent="0.25">
      <c r="C23" s="94"/>
      <c r="D23" s="66" t="s">
        <v>107</v>
      </c>
      <c r="E23" s="69" t="s">
        <v>95</v>
      </c>
    </row>
    <row r="24" spans="3:5" x14ac:dyDescent="0.25">
      <c r="C24" s="95"/>
      <c r="D24" s="67" t="s">
        <v>59</v>
      </c>
      <c r="E24" s="70" t="s">
        <v>90</v>
      </c>
    </row>
  </sheetData>
  <mergeCells count="2">
    <mergeCell ref="C19:C24"/>
    <mergeCell ref="C7:C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W31"/>
  <sheetViews>
    <sheetView showGridLines="0" zoomScale="80" zoomScaleNormal="80" workbookViewId="0">
      <selection activeCell="B13" sqref="B13:D19"/>
    </sheetView>
  </sheetViews>
  <sheetFormatPr defaultRowHeight="15" x14ac:dyDescent="0.25"/>
  <cols>
    <col min="1" max="1" width="1.28515625" customWidth="1"/>
    <col min="2" max="2" width="13.42578125" customWidth="1"/>
    <col min="3" max="3" width="43.42578125" customWidth="1"/>
    <col min="4" max="4" width="36.42578125" customWidth="1"/>
    <col min="5" max="5" width="9.42578125" customWidth="1"/>
    <col min="6" max="6" width="2.28515625" customWidth="1"/>
    <col min="7" max="10" width="9.28515625" customWidth="1"/>
    <col min="11" max="12" width="8.140625" customWidth="1"/>
    <col min="13" max="18" width="9.28515625" customWidth="1"/>
    <col min="19" max="19" width="2.7109375" customWidth="1"/>
    <col min="20" max="20" width="15.42578125" customWidth="1"/>
  </cols>
  <sheetData>
    <row r="3" spans="1:23" ht="21" x14ac:dyDescent="0.35">
      <c r="A3" s="22" t="s">
        <v>44</v>
      </c>
    </row>
    <row r="4" spans="1:23" x14ac:dyDescent="0.25">
      <c r="G4" s="48" t="s">
        <v>64</v>
      </c>
    </row>
    <row r="5" spans="1:23" s="23" customFormat="1" ht="25.5" customHeight="1" x14ac:dyDescent="0.25">
      <c r="C5" s="105" t="s">
        <v>36</v>
      </c>
      <c r="D5" s="106"/>
      <c r="E5" s="106"/>
      <c r="G5" s="24">
        <v>43101</v>
      </c>
      <c r="H5" s="24">
        <v>43132</v>
      </c>
      <c r="I5" s="24">
        <v>43160</v>
      </c>
      <c r="J5" s="24">
        <v>43191</v>
      </c>
      <c r="K5" s="24">
        <v>43221</v>
      </c>
      <c r="L5" s="24">
        <v>43252</v>
      </c>
      <c r="M5" s="24">
        <v>43282</v>
      </c>
      <c r="N5" s="24">
        <v>43313</v>
      </c>
      <c r="O5" s="24">
        <v>43344</v>
      </c>
      <c r="P5" s="24">
        <v>43374</v>
      </c>
      <c r="Q5" s="24">
        <v>43405</v>
      </c>
      <c r="R5" s="24">
        <v>43435</v>
      </c>
    </row>
    <row r="6" spans="1:23" s="23" customFormat="1" ht="17.25" customHeight="1" x14ac:dyDescent="0.25">
      <c r="C6" s="40" t="s">
        <v>14</v>
      </c>
      <c r="D6" s="107" t="s">
        <v>49</v>
      </c>
      <c r="E6" s="108"/>
      <c r="G6" s="25"/>
      <c r="H6" s="25"/>
      <c r="I6" s="25"/>
      <c r="J6" s="26"/>
      <c r="K6" s="26"/>
      <c r="L6" s="26"/>
      <c r="M6" s="27"/>
      <c r="N6" s="27"/>
      <c r="O6" s="27"/>
      <c r="P6" s="27"/>
      <c r="Q6" s="27"/>
      <c r="R6" s="27"/>
    </row>
    <row r="7" spans="1:23" s="23" customFormat="1" ht="17.25" customHeight="1" x14ac:dyDescent="0.25">
      <c r="C7" s="41" t="s">
        <v>18</v>
      </c>
      <c r="D7" s="109" t="s">
        <v>37</v>
      </c>
      <c r="E7" s="110"/>
      <c r="G7" s="27"/>
      <c r="H7" s="25"/>
      <c r="I7" s="25"/>
      <c r="J7" s="25"/>
      <c r="K7" s="26"/>
      <c r="L7" s="26"/>
      <c r="M7" s="27"/>
      <c r="N7" s="27"/>
      <c r="O7" s="27"/>
      <c r="P7" s="27"/>
      <c r="Q7" s="27"/>
      <c r="R7" s="27"/>
    </row>
    <row r="8" spans="1:23" s="23" customFormat="1" x14ac:dyDescent="0.25">
      <c r="C8" s="41" t="s">
        <v>19</v>
      </c>
      <c r="D8" s="109" t="s">
        <v>38</v>
      </c>
      <c r="E8" s="110"/>
      <c r="G8" s="27"/>
      <c r="H8" s="25"/>
      <c r="I8" s="25"/>
      <c r="J8" s="25"/>
      <c r="K8" s="25"/>
      <c r="L8" s="25"/>
      <c r="M8" s="27"/>
      <c r="N8" s="27"/>
      <c r="O8" s="27"/>
      <c r="P8" s="27"/>
      <c r="Q8" s="27"/>
      <c r="R8" s="27"/>
    </row>
    <row r="9" spans="1:23" s="23" customFormat="1" x14ac:dyDescent="0.25">
      <c r="C9" s="41" t="s">
        <v>51</v>
      </c>
      <c r="D9" s="109" t="s">
        <v>48</v>
      </c>
      <c r="E9" s="110"/>
      <c r="G9" s="27"/>
      <c r="H9" s="25"/>
      <c r="I9" s="25"/>
      <c r="J9" s="25"/>
      <c r="K9" s="25"/>
      <c r="L9" s="25"/>
      <c r="M9" s="25"/>
      <c r="N9" s="25"/>
      <c r="O9" s="25"/>
      <c r="P9" s="25"/>
      <c r="Q9" s="25"/>
      <c r="R9" s="25"/>
    </row>
    <row r="10" spans="1:23" s="23" customFormat="1" ht="24" customHeight="1" x14ac:dyDescent="0.25">
      <c r="C10" s="41" t="s">
        <v>47</v>
      </c>
      <c r="D10" s="109" t="s">
        <v>50</v>
      </c>
      <c r="E10" s="110"/>
      <c r="G10" s="27"/>
      <c r="H10" s="27"/>
      <c r="I10" s="27"/>
      <c r="J10" s="27"/>
      <c r="K10" s="27"/>
      <c r="L10" s="27"/>
      <c r="M10" s="25"/>
      <c r="N10" s="25"/>
      <c r="O10" s="25"/>
      <c r="P10" s="25"/>
      <c r="Q10" s="25"/>
      <c r="R10" s="25"/>
    </row>
    <row r="11" spans="1:23" s="23" customFormat="1" x14ac:dyDescent="0.25"/>
    <row r="12" spans="1:23" s="23" customFormat="1" x14ac:dyDescent="0.25">
      <c r="E12" s="28"/>
      <c r="F12" s="29"/>
      <c r="G12" s="47" t="s">
        <v>63</v>
      </c>
      <c r="H12" s="29"/>
      <c r="I12" s="29"/>
      <c r="J12" s="29"/>
      <c r="K12" s="29"/>
    </row>
    <row r="13" spans="1:23" s="23" customFormat="1" ht="25.5" customHeight="1" x14ac:dyDescent="0.25">
      <c r="B13" s="21" t="s">
        <v>52</v>
      </c>
      <c r="C13" s="20" t="s">
        <v>39</v>
      </c>
      <c r="D13" s="20" t="s">
        <v>40</v>
      </c>
      <c r="E13" s="30" t="s">
        <v>55</v>
      </c>
      <c r="G13" s="20">
        <v>43101</v>
      </c>
      <c r="H13" s="20">
        <v>43132</v>
      </c>
      <c r="I13" s="20">
        <v>43160</v>
      </c>
      <c r="J13" s="20">
        <v>43191</v>
      </c>
      <c r="K13" s="20">
        <v>43221</v>
      </c>
      <c r="L13" s="20">
        <v>43252</v>
      </c>
      <c r="M13" s="20">
        <v>43282</v>
      </c>
      <c r="N13" s="20">
        <v>43313</v>
      </c>
      <c r="O13" s="20">
        <v>43344</v>
      </c>
      <c r="P13" s="20">
        <v>43374</v>
      </c>
      <c r="Q13" s="20">
        <v>43405</v>
      </c>
      <c r="R13" s="20">
        <v>43435</v>
      </c>
      <c r="T13" s="20" t="s">
        <v>61</v>
      </c>
    </row>
    <row r="14" spans="1:23" s="23" customFormat="1" ht="19.5" customHeight="1" x14ac:dyDescent="0.25">
      <c r="B14" s="99" t="s">
        <v>53</v>
      </c>
      <c r="C14" s="32" t="s">
        <v>60</v>
      </c>
      <c r="D14" s="33" t="s">
        <v>45</v>
      </c>
      <c r="E14" s="34">
        <v>4565</v>
      </c>
      <c r="G14" s="35">
        <v>1</v>
      </c>
      <c r="H14" s="35">
        <v>1</v>
      </c>
      <c r="I14" s="35">
        <v>1</v>
      </c>
      <c r="J14" s="35">
        <v>1</v>
      </c>
      <c r="K14" s="35">
        <v>1</v>
      </c>
      <c r="L14" s="35">
        <v>1</v>
      </c>
      <c r="M14" s="35">
        <v>1</v>
      </c>
      <c r="N14" s="35">
        <v>1</v>
      </c>
      <c r="O14" s="35">
        <v>1</v>
      </c>
      <c r="P14" s="35">
        <v>1</v>
      </c>
      <c r="Q14" s="35">
        <v>1</v>
      </c>
      <c r="R14" s="35">
        <v>1</v>
      </c>
      <c r="T14" s="43">
        <f>SUM(G14:R14)*E14</f>
        <v>54780</v>
      </c>
      <c r="V14" s="42"/>
      <c r="W14" s="42"/>
    </row>
    <row r="15" spans="1:23" s="23" customFormat="1" x14ac:dyDescent="0.25">
      <c r="B15" s="100"/>
      <c r="C15" s="32" t="s">
        <v>41</v>
      </c>
      <c r="D15" s="33" t="s">
        <v>42</v>
      </c>
      <c r="E15" s="34">
        <v>2175</v>
      </c>
      <c r="G15" s="35">
        <v>1</v>
      </c>
      <c r="H15" s="35">
        <v>1</v>
      </c>
      <c r="I15" s="35">
        <v>1</v>
      </c>
      <c r="J15" s="35">
        <v>1</v>
      </c>
      <c r="K15" s="35">
        <v>1</v>
      </c>
      <c r="L15" s="35">
        <v>1</v>
      </c>
      <c r="M15" s="35">
        <v>1</v>
      </c>
      <c r="N15" s="35">
        <v>1</v>
      </c>
      <c r="O15" s="35">
        <v>1</v>
      </c>
      <c r="P15" s="35">
        <v>1</v>
      </c>
      <c r="Q15" s="35">
        <v>1</v>
      </c>
      <c r="R15" s="35">
        <v>1</v>
      </c>
      <c r="T15" s="43">
        <f t="shared" ref="T15:T19" si="0">SUM(G15:R15)*E15</f>
        <v>26100</v>
      </c>
      <c r="V15" s="42"/>
      <c r="W15" s="42"/>
    </row>
    <row r="16" spans="1:23" s="23" customFormat="1" x14ac:dyDescent="0.25">
      <c r="B16" s="101"/>
      <c r="C16" s="32" t="s">
        <v>56</v>
      </c>
      <c r="D16" s="33" t="s">
        <v>42</v>
      </c>
      <c r="E16" s="34">
        <v>2175</v>
      </c>
      <c r="G16" s="35">
        <v>1</v>
      </c>
      <c r="H16" s="35">
        <v>1</v>
      </c>
      <c r="I16" s="35">
        <v>1</v>
      </c>
      <c r="J16" s="35">
        <v>1</v>
      </c>
      <c r="K16" s="35">
        <v>1</v>
      </c>
      <c r="L16" s="35">
        <v>1</v>
      </c>
      <c r="M16" s="35">
        <v>1</v>
      </c>
      <c r="N16" s="35">
        <v>1</v>
      </c>
      <c r="O16" s="35">
        <v>1</v>
      </c>
      <c r="P16" s="35">
        <v>1</v>
      </c>
      <c r="Q16" s="35">
        <v>1</v>
      </c>
      <c r="R16" s="35">
        <v>1</v>
      </c>
      <c r="T16" s="43">
        <f t="shared" si="0"/>
        <v>26100</v>
      </c>
      <c r="V16" s="42"/>
      <c r="W16" s="42"/>
    </row>
    <row r="17" spans="1:23" s="23" customFormat="1" x14ac:dyDescent="0.25">
      <c r="B17" s="102" t="s">
        <v>54</v>
      </c>
      <c r="C17" s="36" t="s">
        <v>57</v>
      </c>
      <c r="D17" s="37" t="s">
        <v>43</v>
      </c>
      <c r="E17" s="38">
        <v>1550</v>
      </c>
      <c r="G17" s="39">
        <v>1</v>
      </c>
      <c r="H17" s="39">
        <v>1</v>
      </c>
      <c r="I17" s="39">
        <v>1</v>
      </c>
      <c r="J17" s="39">
        <v>0</v>
      </c>
      <c r="K17" s="39">
        <v>0</v>
      </c>
      <c r="L17" s="39">
        <v>0</v>
      </c>
      <c r="M17" s="39">
        <v>0</v>
      </c>
      <c r="N17" s="39">
        <v>0</v>
      </c>
      <c r="O17" s="39">
        <v>0</v>
      </c>
      <c r="P17" s="39">
        <v>0</v>
      </c>
      <c r="Q17" s="39">
        <v>0</v>
      </c>
      <c r="R17" s="39">
        <v>0</v>
      </c>
      <c r="T17" s="44">
        <f t="shared" si="0"/>
        <v>4650</v>
      </c>
      <c r="V17" s="42"/>
      <c r="W17" s="42"/>
    </row>
    <row r="18" spans="1:23" s="23" customFormat="1" x14ac:dyDescent="0.25">
      <c r="B18" s="103"/>
      <c r="C18" s="36" t="s">
        <v>58</v>
      </c>
      <c r="D18" s="37" t="s">
        <v>43</v>
      </c>
      <c r="E18" s="38">
        <v>1550</v>
      </c>
      <c r="G18" s="39">
        <v>1</v>
      </c>
      <c r="H18" s="39">
        <v>1</v>
      </c>
      <c r="I18" s="39">
        <v>1</v>
      </c>
      <c r="J18" s="39">
        <v>0</v>
      </c>
      <c r="K18" s="39">
        <v>0</v>
      </c>
      <c r="L18" s="39">
        <v>0</v>
      </c>
      <c r="M18" s="39">
        <v>1</v>
      </c>
      <c r="N18" s="39">
        <v>1</v>
      </c>
      <c r="O18" s="39">
        <v>1</v>
      </c>
      <c r="P18" s="39">
        <v>1</v>
      </c>
      <c r="Q18" s="39">
        <v>1</v>
      </c>
      <c r="R18" s="39">
        <v>1</v>
      </c>
      <c r="T18" s="44">
        <f t="shared" si="0"/>
        <v>13950</v>
      </c>
      <c r="V18" s="42"/>
      <c r="W18" s="42"/>
    </row>
    <row r="19" spans="1:23" x14ac:dyDescent="0.25">
      <c r="A19" s="23"/>
      <c r="B19" s="104"/>
      <c r="C19" s="36" t="s">
        <v>59</v>
      </c>
      <c r="D19" s="37" t="s">
        <v>46</v>
      </c>
      <c r="E19" s="38">
        <v>2810</v>
      </c>
      <c r="F19" s="23"/>
      <c r="G19" s="39">
        <v>0</v>
      </c>
      <c r="H19" s="39">
        <v>1</v>
      </c>
      <c r="I19" s="39">
        <v>1</v>
      </c>
      <c r="J19" s="39">
        <v>1</v>
      </c>
      <c r="K19" s="39">
        <v>0</v>
      </c>
      <c r="L19" s="39">
        <v>0</v>
      </c>
      <c r="M19" s="39">
        <v>0</v>
      </c>
      <c r="N19" s="39">
        <v>0</v>
      </c>
      <c r="O19" s="39">
        <v>0</v>
      </c>
      <c r="P19" s="39">
        <v>0</v>
      </c>
      <c r="Q19" s="39">
        <v>0</v>
      </c>
      <c r="R19" s="39">
        <v>0</v>
      </c>
      <c r="T19" s="44">
        <f t="shared" si="0"/>
        <v>8430</v>
      </c>
      <c r="V19" s="42"/>
      <c r="W19" s="42"/>
    </row>
    <row r="20" spans="1:23" ht="24.75" customHeight="1" x14ac:dyDescent="0.25">
      <c r="D20" s="31"/>
      <c r="G20" s="49">
        <f>SUM(G14:G19)</f>
        <v>5</v>
      </c>
      <c r="H20" s="49">
        <f t="shared" ref="H20:R20" si="1">SUM(H14:H19)</f>
        <v>6</v>
      </c>
      <c r="I20" s="49">
        <f t="shared" si="1"/>
        <v>6</v>
      </c>
      <c r="J20" s="49">
        <f t="shared" si="1"/>
        <v>4</v>
      </c>
      <c r="K20" s="49">
        <f t="shared" si="1"/>
        <v>3</v>
      </c>
      <c r="L20" s="49">
        <f t="shared" si="1"/>
        <v>3</v>
      </c>
      <c r="M20" s="49">
        <f t="shared" si="1"/>
        <v>4</v>
      </c>
      <c r="N20" s="49">
        <f t="shared" si="1"/>
        <v>4</v>
      </c>
      <c r="O20" s="49">
        <f t="shared" si="1"/>
        <v>4</v>
      </c>
      <c r="P20" s="49">
        <f t="shared" si="1"/>
        <v>4</v>
      </c>
      <c r="Q20" s="49">
        <f t="shared" si="1"/>
        <v>4</v>
      </c>
      <c r="R20" s="49">
        <f t="shared" si="1"/>
        <v>4</v>
      </c>
      <c r="T20" s="45">
        <f>SUM(T14:T19)</f>
        <v>134010</v>
      </c>
    </row>
    <row r="21" spans="1:23" ht="24.75" customHeight="1" x14ac:dyDescent="0.25">
      <c r="D21" s="31"/>
    </row>
    <row r="22" spans="1:23" x14ac:dyDescent="0.25">
      <c r="G22" s="48" t="s">
        <v>65</v>
      </c>
    </row>
    <row r="23" spans="1:23" x14ac:dyDescent="0.25">
      <c r="G23" s="20">
        <v>43101</v>
      </c>
      <c r="H23" s="20">
        <v>43132</v>
      </c>
      <c r="I23" s="20">
        <v>43160</v>
      </c>
      <c r="J23" s="20">
        <v>43191</v>
      </c>
      <c r="K23" s="20">
        <v>43221</v>
      </c>
      <c r="L23" s="20">
        <v>43252</v>
      </c>
      <c r="M23" s="20">
        <v>43282</v>
      </c>
      <c r="N23" s="20">
        <v>43313</v>
      </c>
      <c r="O23" s="20">
        <v>43344</v>
      </c>
      <c r="P23" s="20">
        <v>43374</v>
      </c>
      <c r="Q23" s="20">
        <v>43405</v>
      </c>
      <c r="R23" s="20">
        <v>43435</v>
      </c>
    </row>
    <row r="24" spans="1:23" x14ac:dyDescent="0.25">
      <c r="G24" s="35">
        <f>G14*$E$14</f>
        <v>4565</v>
      </c>
      <c r="H24" s="35">
        <f t="shared" ref="H24:R24" si="2">H14*$E$14</f>
        <v>4565</v>
      </c>
      <c r="I24" s="35">
        <f t="shared" si="2"/>
        <v>4565</v>
      </c>
      <c r="J24" s="35">
        <f t="shared" si="2"/>
        <v>4565</v>
      </c>
      <c r="K24" s="35">
        <f t="shared" si="2"/>
        <v>4565</v>
      </c>
      <c r="L24" s="35">
        <f t="shared" si="2"/>
        <v>4565</v>
      </c>
      <c r="M24" s="35">
        <f t="shared" si="2"/>
        <v>4565</v>
      </c>
      <c r="N24" s="35">
        <f t="shared" si="2"/>
        <v>4565</v>
      </c>
      <c r="O24" s="35">
        <f t="shared" si="2"/>
        <v>4565</v>
      </c>
      <c r="P24" s="35">
        <f t="shared" si="2"/>
        <v>4565</v>
      </c>
      <c r="Q24" s="35">
        <f t="shared" si="2"/>
        <v>4565</v>
      </c>
      <c r="R24" s="35">
        <f t="shared" si="2"/>
        <v>4565</v>
      </c>
    </row>
    <row r="25" spans="1:23" x14ac:dyDescent="0.25">
      <c r="G25" s="35">
        <f>G15*$E$15</f>
        <v>2175</v>
      </c>
      <c r="H25" s="35">
        <f t="shared" ref="H25:R25" si="3">H15*$E$15</f>
        <v>2175</v>
      </c>
      <c r="I25" s="35">
        <f t="shared" si="3"/>
        <v>2175</v>
      </c>
      <c r="J25" s="35">
        <f t="shared" si="3"/>
        <v>2175</v>
      </c>
      <c r="K25" s="35">
        <f t="shared" si="3"/>
        <v>2175</v>
      </c>
      <c r="L25" s="35">
        <f t="shared" si="3"/>
        <v>2175</v>
      </c>
      <c r="M25" s="35">
        <f t="shared" si="3"/>
        <v>2175</v>
      </c>
      <c r="N25" s="35">
        <f t="shared" si="3"/>
        <v>2175</v>
      </c>
      <c r="O25" s="35">
        <f t="shared" si="3"/>
        <v>2175</v>
      </c>
      <c r="P25" s="35">
        <f t="shared" si="3"/>
        <v>2175</v>
      </c>
      <c r="Q25" s="35">
        <f t="shared" si="3"/>
        <v>2175</v>
      </c>
      <c r="R25" s="35">
        <f t="shared" si="3"/>
        <v>2175</v>
      </c>
    </row>
    <row r="26" spans="1:23" x14ac:dyDescent="0.25">
      <c r="G26" s="35">
        <f>G16*$E$16</f>
        <v>2175</v>
      </c>
      <c r="H26" s="35">
        <f t="shared" ref="H26:R26" si="4">H16*$E$16</f>
        <v>2175</v>
      </c>
      <c r="I26" s="35">
        <f t="shared" si="4"/>
        <v>2175</v>
      </c>
      <c r="J26" s="35">
        <f t="shared" si="4"/>
        <v>2175</v>
      </c>
      <c r="K26" s="35">
        <f t="shared" si="4"/>
        <v>2175</v>
      </c>
      <c r="L26" s="35">
        <f t="shared" si="4"/>
        <v>2175</v>
      </c>
      <c r="M26" s="35">
        <f t="shared" si="4"/>
        <v>2175</v>
      </c>
      <c r="N26" s="35">
        <f t="shared" si="4"/>
        <v>2175</v>
      </c>
      <c r="O26" s="35">
        <f t="shared" si="4"/>
        <v>2175</v>
      </c>
      <c r="P26" s="35">
        <f t="shared" si="4"/>
        <v>2175</v>
      </c>
      <c r="Q26" s="35">
        <f t="shared" si="4"/>
        <v>2175</v>
      </c>
      <c r="R26" s="35">
        <f t="shared" si="4"/>
        <v>2175</v>
      </c>
    </row>
    <row r="27" spans="1:23" x14ac:dyDescent="0.25">
      <c r="G27" s="39">
        <f>G17*$E$17</f>
        <v>1550</v>
      </c>
      <c r="H27" s="39">
        <f t="shared" ref="H27:R27" si="5">H17*$E$17</f>
        <v>1550</v>
      </c>
      <c r="I27" s="39">
        <f t="shared" si="5"/>
        <v>1550</v>
      </c>
      <c r="J27" s="39">
        <f t="shared" si="5"/>
        <v>0</v>
      </c>
      <c r="K27" s="39">
        <f t="shared" si="5"/>
        <v>0</v>
      </c>
      <c r="L27" s="39">
        <f t="shared" si="5"/>
        <v>0</v>
      </c>
      <c r="M27" s="39">
        <f t="shared" si="5"/>
        <v>0</v>
      </c>
      <c r="N27" s="39">
        <f t="shared" si="5"/>
        <v>0</v>
      </c>
      <c r="O27" s="39">
        <f t="shared" si="5"/>
        <v>0</v>
      </c>
      <c r="P27" s="39">
        <f t="shared" si="5"/>
        <v>0</v>
      </c>
      <c r="Q27" s="39">
        <f t="shared" si="5"/>
        <v>0</v>
      </c>
      <c r="R27" s="39">
        <f t="shared" si="5"/>
        <v>0</v>
      </c>
    </row>
    <row r="28" spans="1:23" x14ac:dyDescent="0.25">
      <c r="G28" s="39">
        <f>G18*$E$18</f>
        <v>1550</v>
      </c>
      <c r="H28" s="39">
        <f t="shared" ref="H28:R28" si="6">H18*$E$18</f>
        <v>1550</v>
      </c>
      <c r="I28" s="39">
        <f t="shared" si="6"/>
        <v>1550</v>
      </c>
      <c r="J28" s="39">
        <f t="shared" si="6"/>
        <v>0</v>
      </c>
      <c r="K28" s="39">
        <f t="shared" si="6"/>
        <v>0</v>
      </c>
      <c r="L28" s="39">
        <f t="shared" si="6"/>
        <v>0</v>
      </c>
      <c r="M28" s="39">
        <f t="shared" si="6"/>
        <v>1550</v>
      </c>
      <c r="N28" s="39">
        <f t="shared" si="6"/>
        <v>1550</v>
      </c>
      <c r="O28" s="39">
        <f t="shared" si="6"/>
        <v>1550</v>
      </c>
      <c r="P28" s="39">
        <f t="shared" si="6"/>
        <v>1550</v>
      </c>
      <c r="Q28" s="39">
        <f t="shared" si="6"/>
        <v>1550</v>
      </c>
      <c r="R28" s="39">
        <f t="shared" si="6"/>
        <v>1550</v>
      </c>
    </row>
    <row r="29" spans="1:23" x14ac:dyDescent="0.25">
      <c r="G29" s="39">
        <f>G19*$E$19</f>
        <v>0</v>
      </c>
      <c r="H29" s="39">
        <f t="shared" ref="H29:R29" si="7">H19*$E$19</f>
        <v>2810</v>
      </c>
      <c r="I29" s="39">
        <f t="shared" si="7"/>
        <v>2810</v>
      </c>
      <c r="J29" s="39">
        <f t="shared" si="7"/>
        <v>2810</v>
      </c>
      <c r="K29" s="39">
        <f t="shared" si="7"/>
        <v>0</v>
      </c>
      <c r="L29" s="39">
        <f t="shared" si="7"/>
        <v>0</v>
      </c>
      <c r="M29" s="39">
        <f t="shared" si="7"/>
        <v>0</v>
      </c>
      <c r="N29" s="39">
        <f t="shared" si="7"/>
        <v>0</v>
      </c>
      <c r="O29" s="39">
        <f t="shared" si="7"/>
        <v>0</v>
      </c>
      <c r="P29" s="39">
        <f t="shared" si="7"/>
        <v>0</v>
      </c>
      <c r="Q29" s="39">
        <f t="shared" si="7"/>
        <v>0</v>
      </c>
      <c r="R29" s="39">
        <f t="shared" si="7"/>
        <v>0</v>
      </c>
    </row>
    <row r="31" spans="1:23" x14ac:dyDescent="0.25">
      <c r="G31" s="46">
        <f>SUM(G24:G30)</f>
        <v>12015</v>
      </c>
      <c r="H31" s="46">
        <f t="shared" ref="H31:R31" si="8">SUM(H24:H30)</f>
        <v>14825</v>
      </c>
      <c r="I31" s="46">
        <f t="shared" si="8"/>
        <v>14825</v>
      </c>
      <c r="J31" s="46">
        <f t="shared" si="8"/>
        <v>11725</v>
      </c>
      <c r="K31" s="46">
        <f t="shared" si="8"/>
        <v>8915</v>
      </c>
      <c r="L31" s="46">
        <f t="shared" si="8"/>
        <v>8915</v>
      </c>
      <c r="M31" s="46">
        <f t="shared" si="8"/>
        <v>10465</v>
      </c>
      <c r="N31" s="46">
        <f t="shared" si="8"/>
        <v>10465</v>
      </c>
      <c r="O31" s="46">
        <f t="shared" si="8"/>
        <v>10465</v>
      </c>
      <c r="P31" s="46">
        <f t="shared" si="8"/>
        <v>10465</v>
      </c>
      <c r="Q31" s="46">
        <f t="shared" si="8"/>
        <v>10465</v>
      </c>
      <c r="R31" s="46">
        <f t="shared" si="8"/>
        <v>10465</v>
      </c>
    </row>
  </sheetData>
  <mergeCells count="8">
    <mergeCell ref="B14:B16"/>
    <mergeCell ref="B17:B19"/>
    <mergeCell ref="C5:E5"/>
    <mergeCell ref="D6:E6"/>
    <mergeCell ref="D7:E7"/>
    <mergeCell ref="D8:E8"/>
    <mergeCell ref="D9:E9"/>
    <mergeCell ref="D10:E1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RADIUS Scope</vt:lpstr>
      <vt:lpstr>MENDEL 2.0 Plan</vt:lpstr>
      <vt:lpstr>MENDEL 2.0 Timeline</vt:lpstr>
      <vt:lpstr>Radius Effort estimation</vt:lpstr>
    </vt:vector>
  </TitlesOfParts>
  <Company>Cognizant Technology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Das, Subhajit (Cognizant)</cp:lastModifiedBy>
  <dcterms:created xsi:type="dcterms:W3CDTF">2017-11-15T18:41:12Z</dcterms:created>
  <dcterms:modified xsi:type="dcterms:W3CDTF">2019-11-18T10:40:15Z</dcterms:modified>
</cp:coreProperties>
</file>